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guel\UNI\7semestre\PDM\DroidMentor\"/>
    </mc:Choice>
  </mc:AlternateContent>
  <xr:revisionPtr revIDLastSave="0" documentId="8_{47C11A54-6E8E-42AB-AF73-C205AC4B1121}" xr6:coauthVersionLast="47" xr6:coauthVersionMax="47" xr10:uidLastSave="{00000000-0000-0000-0000-000000000000}"/>
  <bookViews>
    <workbookView xWindow="22932" yWindow="-108" windowWidth="23256" windowHeight="12576" firstSheet="1" activeTab="6" xr2:uid="{00000000-000D-0000-FFFF-FFFF00000000}"/>
  </bookViews>
  <sheets>
    <sheet name="Dashboard" sheetId="1" r:id="rId1"/>
    <sheet name="Semester Bundles" sheetId="2" r:id="rId2"/>
    <sheet name="Tasks" sheetId="3" r:id="rId3"/>
    <sheet name="Deliverables" sheetId="4" r:id="rId4"/>
    <sheet name="Requirement Coverage" sheetId="5" r:id="rId5"/>
    <sheet name="UI Components" sheetId="6" r:id="rId6"/>
    <sheet name="Contracts &amp; Tests" sheetId="7" r:id="rId7"/>
    <sheet name="Milestones" sheetId="8" r:id="rId8"/>
    <sheet name="Optional Backlog" sheetId="9" r:id="rId9"/>
    <sheet name="Planning Rules"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 l="1"/>
  <c r="C24" i="1"/>
  <c r="C23" i="1"/>
  <c r="C22" i="1"/>
  <c r="C21" i="1"/>
  <c r="C20" i="1"/>
  <c r="C19" i="1"/>
  <c r="C18" i="1"/>
  <c r="C17" i="1"/>
  <c r="C16" i="1"/>
  <c r="C15" i="1"/>
  <c r="C13" i="1"/>
  <c r="B9" i="1"/>
  <c r="B8" i="1"/>
  <c r="B6" i="1"/>
  <c r="B5" i="1"/>
</calcChain>
</file>

<file path=xl/sharedStrings.xml><?xml version="1.0" encoding="utf-8"?>
<sst xmlns="http://schemas.openxmlformats.org/spreadsheetml/2006/main" count="1327" uniqueCount="845">
  <si>
    <t>DroidMentor — Outcome-Based Semester Plan</t>
  </si>
  <si>
    <t>Plan model: weekly outcome bundles + meaningful tasks. Shared Compose primitives are planned explicitly; small implementation actions live inside task descriptions; tasks have no individual dates or time estimates.</t>
  </si>
  <si>
    <t>Metric</t>
  </si>
  <si>
    <t>Value</t>
  </si>
  <si>
    <t>Scope</t>
  </si>
  <si>
    <t>Task count</t>
  </si>
  <si>
    <t>Owner</t>
  </si>
  <si>
    <t>Tasks</t>
  </si>
  <si>
    <t>Difficulty points</t>
  </si>
  <si>
    <t>Formal deliverables</t>
  </si>
  <si>
    <t>Mandatory</t>
  </si>
  <si>
    <t>Miguel Alves</t>
  </si>
  <si>
    <t>Semester bundles</t>
  </si>
  <si>
    <t>Committed Optional</t>
  </si>
  <si>
    <t>Martim Gomes</t>
  </si>
  <si>
    <t>Execution tasks</t>
  </si>
  <si>
    <t>Target Optional</t>
  </si>
  <si>
    <t>Requirements covered</t>
  </si>
  <si>
    <t>Optional backlog items</t>
  </si>
  <si>
    <t>Average difficulty</t>
  </si>
  <si>
    <t>Bundle</t>
  </si>
  <si>
    <t>Name</t>
  </si>
  <si>
    <t>Key planning changes</t>
  </si>
  <si>
    <t>W0</t>
  </si>
  <si>
    <t>Repository &amp; Planning</t>
  </si>
  <si>
    <t>32 outcome-sized tasks; the plan is balanced at 16 tasks and 62 difficulty points per student without splitting simple work artificially.</t>
  </si>
  <si>
    <t>W1</t>
  </si>
  <si>
    <t>UI Foundations</t>
  </si>
  <si>
    <t>W1 now starts with shared Compose design/interaction primitives, then separates Active Chat, History, and the combined Title/Settings/About result.</t>
  </si>
  <si>
    <t>W2</t>
  </si>
  <si>
    <t>Navigation &amp; Local Chat</t>
  </si>
  <si>
    <t>History ownership naturally feeds routing; Settings/BYOK context feeds later request/chat integration, but ownership continuity is never a hard constraint.</t>
  </si>
  <si>
    <t>W3</t>
  </si>
  <si>
    <t>mentor_2 Demo</t>
  </si>
  <si>
    <t>Shared headers, buttons, fields, async submit/loading/error patterns are defined once; feature-specific composables remain inside the owning screen task.</t>
  </si>
  <si>
    <t>W4</t>
  </si>
  <si>
    <t>App Architecture</t>
  </si>
  <si>
    <t>Difficulty points were recalibrated by state complexity, cross-layer integration and technical risk rather than by number of files or UI elements.</t>
  </si>
  <si>
    <t>W5</t>
  </si>
  <si>
    <t>Network &amp; BYOK</t>
  </si>
  <si>
    <t>Bundles/formal deliverables carry dates; task order comes from bundle order + dependencies + priority.</t>
  </si>
  <si>
    <t>W6</t>
  </si>
  <si>
    <t>Gemini Chat</t>
  </si>
  <si>
    <t>Task descriptions still include likely path, contracts/components, inputs/outputs, exact tests and Done criteria so GitHub issues act as implementation guides.</t>
  </si>
  <si>
    <t>W7</t>
  </si>
  <si>
    <t>Persistence &amp; Offline</t>
  </si>
  <si>
    <t>Formal videos remain explicit milestone publication tasks for mentor_2, mentor_3 and mentor_f.</t>
  </si>
  <si>
    <t>W8</t>
  </si>
  <si>
    <t>mentor_3 Integration</t>
  </si>
  <si>
    <t>W9</t>
  </si>
  <si>
    <t>Conversation Branching</t>
  </si>
  <si>
    <t>W10</t>
  </si>
  <si>
    <t>Search &amp; Reasoning</t>
  </si>
  <si>
    <t>W11</t>
  </si>
  <si>
    <t>Images &amp; Optional Polish</t>
  </si>
  <si>
    <t>W12</t>
  </si>
  <si>
    <t>Final Release</t>
  </si>
  <si>
    <t>Bundle ID</t>
  </si>
  <si>
    <t>Week</t>
  </si>
  <si>
    <t>Bundle name</t>
  </si>
  <si>
    <t>Objective</t>
  </si>
  <si>
    <t>Start</t>
  </si>
  <si>
    <t>End</t>
  </si>
  <si>
    <t>Deliverable</t>
  </si>
  <si>
    <t>Priority</t>
  </si>
  <si>
    <t>Lead</t>
  </si>
  <si>
    <t>Support</t>
  </si>
  <si>
    <t>Entry criteria</t>
  </si>
  <si>
    <t>Exit criteria</t>
  </si>
  <si>
    <t>Checkpoint / video</t>
  </si>
  <si>
    <t>Status</t>
  </si>
  <si>
    <t>Week 0</t>
  </si>
  <si>
    <t>Create the shared working baseline: repository access, durable project documentation, a buildable Android app and the formal mentor_1 checkpoint.</t>
  </si>
  <si>
    <t>DEL-001 mentor_1</t>
  </si>
  <si>
    <t>P0</t>
  </si>
  <si>
    <t>Assignment requirements and GitHub repository are available.</t>
  </si>
  <si>
    <t>Both students and professor can access the repo; README is durable; Android baseline builds; plan/ownership is visible; mentor_1 tag exists.</t>
  </si>
  <si>
    <t>21/09 mentor_1</t>
  </si>
  <si>
    <t>In Progress</t>
  </si>
  <si>
    <t>Week 1</t>
  </si>
  <si>
    <t>Establish shared Compose design primitives and implement the required UI surfaces early so later routing, provider and persistence work plugs into known components and state contracts.</t>
  </si>
  <si>
    <t>DEL-002 mentor_2</t>
  </si>
  <si>
    <t>Android baseline builds.</t>
  </si>
  <si>
    <t>Shared scaffold/header/action/feedback primitives exist; Title, History, Active Chat, Settings and About render from explicit state; feature controls already emit typed events even when backend behavior is not wired yet.</t>
  </si>
  <si>
    <t>UI baseline</t>
  </si>
  <si>
    <t>Planned</t>
  </si>
  <si>
    <t>Week 2</t>
  </si>
  <si>
    <t>Make the app usable end-to-end with local/in-memory state: route between screens, select conversations and exercise Active Chat/History behavior before network and database work.</t>
  </si>
  <si>
    <t>Required UI surfaces are available.</t>
  </si>
  <si>
    <t>All required screens are reachable; new/open chat works locally; composer/edit entry points and history lifecycle rules are testable without Gemini or Room.</t>
  </si>
  <si>
    <t>04/10 local demo</t>
  </si>
  <si>
    <t>Week 3</t>
  </si>
  <si>
    <t>Stabilize the first demonstrable baseline and publish the formal mentor_2 evidence.</t>
  </si>
  <si>
    <t>Local UI/navigation/chat flow works.</t>
  </si>
  <si>
    <t>Baseline smoke tests are green; decisions/verification are understandable; 5–7 minute video, README link and mentor_2 tag match the demonstrated build.</t>
  </si>
  <si>
    <t>05/10 monitoring; 12/10 mentor_2</t>
  </si>
  <si>
    <t>Week 4</t>
  </si>
  <si>
    <t>Introduce only the architecture boundaries needed to connect UI, network and persistence cleanly.</t>
  </si>
  <si>
    <t>DEL-003 mentor_3</t>
  </si>
  <si>
    <t>mentor_2 baseline tagged.</t>
  </si>
  <si>
    <t>Application-level manual composition, repository/provider boundaries and stable ViewModel/state contracts exist without unnecessary Gradle modules or DI frameworks.</t>
  </si>
  <si>
    <t>Architecture gate</t>
  </si>
  <si>
    <t>Week 5</t>
  </si>
  <si>
    <t>Build the Gemini transport foundation and local BYOK configuration as testable services.</t>
  </si>
  <si>
    <t>Architecture interfaces and test seams are available.</t>
  </si>
  <si>
    <t>Ktor/Kotlinx client can serialize Gemini requests, normalize failures and stop when offline; Settings stores/removes the API key through DataStore.</t>
  </si>
  <si>
    <t>Network gate</t>
  </si>
  <si>
    <t>Week 6</t>
  </si>
  <si>
    <t>Connect the Active Chat state machine to Gemini while keeping requests stateless and local history authoritative.</t>
  </si>
  <si>
    <t>Network and BYOK foundations are green.</t>
  </si>
  <si>
    <t>A valid send builds a request from local history + system instruction, calls Gemini and renders a model response; loading/error/retry behavior is deterministic and tested.</t>
  </si>
  <si>
    <t>Gemini E2E gate</t>
  </si>
  <si>
    <t>Week 7</t>
  </si>
  <si>
    <t>Replace temporary memory state with Room and make required chat lifecycle behavior durable.</t>
  </si>
  <si>
    <t>Gemini chat works in memory.</t>
  </si>
  <si>
    <t>Conversation/message history survives restart; stored chats are readable offline; resume/delete/edit-rewrite behavior is transactional and provider context is rebuilt from persisted local state.</t>
  </si>
  <si>
    <t>Persistence gate</t>
  </si>
  <si>
    <t>Week 8</t>
  </si>
  <si>
    <t>Qualify the complete mandatory product and publish the mentor_3 evidence.</t>
  </si>
  <si>
    <t>W4–W7 integrated.</t>
  </si>
  <si>
    <t>Mandatory flows pass clean-install/restart/offline/failure regression; mentor_3 video, README link and tag correspond to the qualified build.</t>
  </si>
  <si>
    <t>09/11 monitoring; 16/11 mentor_3</t>
  </si>
  <si>
    <t>Week 9</t>
  </si>
  <si>
    <t>Add non-destructive conversation alternatives only after the mandatory baseline is stable.</t>
  </si>
  <si>
    <t>DEL-004 mentor_f</t>
  </si>
  <si>
    <t>P1</t>
  </si>
  <si>
    <t>mentor_3 mandatory gate green.</t>
  </si>
  <si>
    <t>Branch graph, active-path selection, persistence migration, edit/regenerate alternatives and branch controls work together without losing the original conversation.</t>
  </si>
  <si>
    <t>Branching gate</t>
  </si>
  <si>
    <t>Week 10</t>
  </si>
  <si>
    <t>Add conversation organization and provider-gated reasoning without fragmenting either feature into small implementation tasks.</t>
  </si>
  <si>
    <t>Core regression green; branching stable if retained.</t>
  </si>
  <si>
    <t>History can search/rename/pin conversations; reasoning controls appear and affect requests only when the provider genuinely supports them.</t>
  </si>
  <si>
    <t>Optional gate</t>
  </si>
  <si>
    <t>Week 11</t>
  </si>
  <si>
    <t>Implement the complete image-first attachment path and stop optional expansion at scope freeze.</t>
  </si>
  <si>
    <t>Mandatory and committed paths stable.</t>
  </si>
  <si>
    <t>Gallery/camera image -&gt; app-private storage -&gt; metadata persistence -&gt; Active Chat preview -&gt; Gemini request -&gt; reopen/cleanup is qualified; generic files remain out unless explicitly promoted.</t>
  </si>
  <si>
    <t>07/12 monitoring + scope freeze</t>
  </si>
  <si>
    <t>Week 12</t>
  </si>
  <si>
    <t>Freeze scope, qualify the release, fix defects and publish durable final evidence.</t>
  </si>
  <si>
    <t>Scope frozen; no new features.</t>
  </si>
  <si>
    <t>No release-blocking defects remain; final README is atemporal; final 5–7 minute video and mentor_f tag match the stable build.</t>
  </si>
  <si>
    <t>12/12 mentor_f</t>
  </si>
  <si>
    <t>Task ID</t>
  </si>
  <si>
    <t>Order</t>
  </si>
  <si>
    <t>Title</t>
  </si>
  <si>
    <t>Outcome &amp; implementation guidance</t>
  </si>
  <si>
    <t>Difficulty</t>
  </si>
  <si>
    <t>Reviewer</t>
  </si>
  <si>
    <t>Depends on</t>
  </si>
  <si>
    <t>Likely package / path</t>
  </si>
  <si>
    <t>Components / interfaces</t>
  </si>
  <si>
    <t>Inputs → outputs</t>
  </si>
  <si>
    <t>Tests / verification</t>
  </si>
  <si>
    <t>Done when</t>
  </si>
  <si>
    <t>Requirements</t>
  </si>
  <si>
    <t>SETUP-001</t>
  </si>
  <si>
    <t>Establish the shared repository and project baseline</t>
  </si>
  <si>
    <t>Set up the repository as the single shared workspace instead of splitting setup into separate microtasks. Confirm Miguel Alves (MAlves4018), Martim Gomes (MarsGomes) and the professor have the required access; keep the GitHub Project linked; create the durable README structure and initial project metadata in the same pass. The README should explain what DroidMentor is, who is building it, the technology stack, how to build/run it and where milestone evidence will live, without referring to temporary handovers or internal planning versions.</t>
  </si>
  <si>
    <t>Repository root; README.md; .github/; GitHub repository/project settings</t>
  </si>
  <si>
    <t>Repository access, README structure, team section, project link, issue/PR templates if retained</t>
  </si>
  <si>
    <t>Inputs: assignment requirements + GitHub accounts. Outputs: shared repository with correct access and a durable entry-point README.</t>
  </si>
  <si>
    <t>Verify both students can clone/push; professor access is correct; README names Miguel Alves (MAlves4018) and Martim Gomes (MarsGomes) with placeholders for student number/email until filled; no dependency on external intermediate documents.</t>
  </si>
  <si>
    <t>A new contributor can open the repo, understand the project and collaborate without additional setup notes. Repository/access/README work is complete as one coherent setup result.</t>
  </si>
  <si>
    <t>REQ-020, REQ-021, REQ-022</t>
  </si>
  <si>
    <t>Ready</t>
  </si>
  <si>
    <t>SETUP-002</t>
  </si>
  <si>
    <t>Create and verify the Android application baseline</t>
  </si>
  <si>
    <t>Create the smallest buildable Android/Kotlin baseline that later tasks can extend. Keep a single :app module, DroidMentorApplication, MainActivity and the Compose/theme skeleton. Kotlin source files may remain under app/src/main/java/isel/dei/pdm/droidmentor because that is a standard Android source set name; do not rename it just to say 'kotlin'. Avoid Hilt/Dagger and avoid adding libraries that are not yet needed.</t>
  </si>
  <si>
    <t>app/; app/src/main/java/isel/dei/pdm/droidmentor/; build.gradle.kts; settings.gradle.kts</t>
  </si>
  <si>
    <t>DroidMentorApplication, MainActivity, Compose theme/root surface, Gradle configuration</t>
  </si>
  <si>
    <t>Inputs: clean repository. Outputs: app that syncs, builds and launches to a minimal Compose surface.</t>
  </si>
  <si>
    <t>Run Gradle sync, assembleDebug and one basic unit/instrumented smoke test; launch on the agreed emulator/device; verify no unused DI or extra modules were introduced.</t>
  </si>
  <si>
    <t>Both students can open the project in Android Studio and run the same baseline successfully.</t>
  </si>
  <si>
    <t>REQ-001, REQ-003</t>
  </si>
  <si>
    <t>Backlog</t>
  </si>
  <si>
    <t>SETUP-003</t>
  </si>
  <si>
    <t>Publish the mentor_1 planning checkpoint</t>
  </si>
  <si>
    <t>Treat mentor_1 as one formal checkpoint rather than several administrative tasks. Confirm the semester bundles, task ownership, priorities and dependencies are visible in the plan/GitHub Project; fill the team identifiers required by the assignment; verify repository access; then create the mentor_1 tag only when the checkpoint represents the actual shared state.</t>
  </si>
  <si>
    <t>SETUP-001, SETUP-002</t>
  </si>
  <si>
    <t>GitHub Project; README.md; repository tags</t>
  </si>
  <si>
    <t>mentor_1 checklist, plan visibility, ownership review, formal tag</t>
  </si>
  <si>
    <t>Inputs: working repo + approved semester plan. Outputs: mentor_1 evidence state and tag.</t>
  </si>
  <si>
    <t>Check every mandatory requirement has planned coverage; every execution task has an owner/reviewer; README/team/access requirements are visible; tag points to the reviewed commit.</t>
  </si>
  <si>
    <t>mentor_1 can be demonstrated from the repository without explaining hidden spreadsheets or temporary documents.</t>
  </si>
  <si>
    <t>REQ-019, REQ-022</t>
  </si>
  <si>
    <t>UI-001</t>
  </si>
  <si>
    <t>Establish the shared Compose design system and reusable interaction primitives</t>
  </si>
  <si>
    <t>Create a small shared UI foundation before building individual screens so common visual and interaction patterns are implemented once rather than being credited to one feature page. Define the theme tokens and reusable composables that will genuinely appear in two or more screens: a common scaffold/header pattern, primary actions, an async submit/request action with disabled and loading states, text-field variants, icon actions, and consistent loading/error/empty feedback. Keep these composables presentation-only: they receive state and callbacks and must not know about navigation, Gemini, Room or DataStore. Add previews/examples showing normal, disabled, loading and error states, but avoid abstract components that have no concrete use in W1.</t>
  </si>
  <si>
    <t>app/src/main/java/isel/dei/pdm/droidmentor/ui/components/; ui/theme/</t>
  </si>
  <si>
    <t>DroidMentorScaffold, AppHeader, PrimaryActionButton, AsyncSubmitButton, AppTextField/SecureTextField, IconActionButton, InlineError/Loading/Empty feedback, spacing/typography tokens</t>
  </si>
  <si>
    <t>Inputs: immutable visual state, labels/content and typed callbacks. Outputs: reusable composables with stable semantics that screen tasks can compose without duplicating styling or async-action behavior.</t>
  </si>
  <si>
    <t>Create previews for the shared states and focused Compose tests for enabled/disabled actions, loading behavior, header slots, field semantics and visible error/empty feedback. Verify shared components do not access repositories, navigation controllers or provider objects directly.</t>
  </si>
  <si>
    <t>Active Chat, History, Title, Settings and About can be built from the same visual primitives without copy-pasting common headers/buttons/feedback patterns, and the shared components remain backend-agnostic.</t>
  </si>
  <si>
    <t>REQ-013</t>
  </si>
  <si>
    <t>UI-002</t>
  </si>
  <si>
    <t>Implement the Active Chat page UI</t>
  </si>
  <si>
    <t>Implement the Active Chat Compose surface independently from Gemini and persistence, using the shared W1 design primitives instead of redefining common headers/buttons/states. The page should render an ordered conversation with visually distinct user/model turns, a multiline composer, a submit/send action, an edit entry point on eligible messages, an attachment entry point, and explicit sending/loading/error states. Define screen-specific reusable components such as MessageBubble and ChatComposer because they carry chat semantics. Model the screen through immutable state and typed actions so previews and tests can reproduce empty, populated, sending and failure states. Edit/Add/Send controls may emit events before their real backend behavior exists.</t>
  </si>
  <si>
    <t>app/src/main/java/isel/dei/pdm/droidmentor/ui/chat/</t>
  </si>
  <si>
    <t>ActiveChatScreen, ActiveChatUiState, ActiveChatAction, MessageList, MessageBubble, ChatComposer, EditMessageAction, AddAttachmentAction; reuse AppHeader and AsyncSubmitButton from UI-001</t>
  </si>
  <si>
    <t>Inputs: immutable ActiveChatUiState with messages, draft, sending/error flags and eligible actions. Outputs: typed UI events such as DraftChanged, SendClicked, EditMessageClicked(messageId), AddAttachmentClicked and RetryClicked.</t>
  </si>
  <si>
    <t>Compose previews cover empty, populated, sending and error states. UI tests prove message order/role styling, empty-send disabled behavior, draft entry, send action emission, edit control visibility for eligible messages, attachment action emission and loading/error feedback. Verify provider/database logic is absent from composables.</t>
  </si>
  <si>
    <t>Active Chat can be exercised entirely with fake state, already exposes the controls required by later functionality, and later Gemini/Room/branching work can connect through state/actions without redesigning the page.</t>
  </si>
  <si>
    <t>REQ-013, REQ-016</t>
  </si>
  <si>
    <t>UI-003</t>
  </si>
  <si>
    <t>Implement the Chat History page UI</t>
  </si>
  <si>
    <t>Implement Chat History as its own meaningful screen result, reusing the shared scaffold/header/action/feedback components from UI-001 instead of repeating work from Active Chat. Render conversation summaries with title and last activity, provide open/delete actions, and reserve a clear search/organization area so later search/rename/pin functionality can be added without redesign. Keep data fake/local at this stage; the page should emit typed actions and should not know whether conversations eventually come from memory or Room.</t>
  </si>
  <si>
    <t>app/src/main/java/isel/dei/pdm/droidmentor/ui/history/</t>
  </si>
  <si>
    <t>ChatHistoryScreen, HistoryUiState, HistoryAction, ConversationList, ConversationRow, HistorySearchField/organization slot, DeleteConversationAction; reuse AppHeader/feedback primitives from UI-001</t>
  </si>
  <si>
    <t>Inputs: HistoryUiState containing conversation summaries, loading/empty/error state and optional query placeholder. Outputs: OpenConversation(id), DeleteConversation(id), SearchChanged(query) and future organization events.</t>
  </si>
  <si>
    <t>Compose tests prove summaries render in supplied order, empty/loading/error states are visible, open/delete emit the correct conversation ID, and the search/organization area can be shown without database logic. Verify common header/action styling comes from UI-001 rather than duplicated composables.</t>
  </si>
  <si>
    <t>History can be previewed and tested with fake summaries, exposes the interactions needed for routing/lifecycle work, and later Room/search integration can replace the data source without restructuring the UI.</t>
  </si>
  <si>
    <t>REQ-013, REQ-015</t>
  </si>
  <si>
    <t>UI-004</t>
  </si>
  <si>
    <t>Implement the Title, Settings and About page UIs</t>
  </si>
  <si>
    <t>Build the three simpler required surfaces as one task because they do not justify separate execution units. Title should expose the main entry actions (new chat, history, settings, about); Settings should provide a masked/revealable Gemini API-key field with Save/Remove actions and a reserved provider-capability/reasoning area; About should present durable project/team information. Reuse the shared header, buttons, fields and feedback patterns from UI-001. At this stage controls emit events only: navigation is wired in FLOW-001, API-key persistence in NET-002 and reasoning capability in RSN-001.</t>
  </si>
  <si>
    <t>app/src/main/java/isel/dei/pdm/droidmentor/ui/title/; ui/settings/; ui/about/</t>
  </si>
  <si>
    <t>TitleScreen/State/Action, SettingsScreen/State/Action, AboutScreen, home destination actions, ApiKeyField, Save/Remove actions, provider capability slot, project/team info sections</t>
  </si>
  <si>
    <t>Inputs: static project/team content plus SettingsUiState/API-key draft. Outputs: NewChat/History/Settings/About navigation intents and ApiKeyChanged/SaveKey/RemoveKey/provider-option actions.</t>
  </si>
  <si>
    <t>Compose tests cover presence of all Title destinations, masked/revealed key input, Save/Remove action emission, configured/unconfigured Settings states and durable About/team content. Verify these screens reuse UI-001 primitives and contain no navigation, DataStore or provider implementation.</t>
  </si>
  <si>
    <t>All three screens are concrete and testable UI surfaces, their later routing/settings/reasoning integrations have stable action contracts, and no separate microtasks are needed for their individual buttons or text sections.</t>
  </si>
  <si>
    <t>REQ-006, REQ-013</t>
  </si>
  <si>
    <t>FLOW-001</t>
  </si>
  <si>
    <t>Wire application routing and conversation selection</t>
  </si>
  <si>
    <t>Connect the five required screens through one coherent navigation result, using the actions already exposed by the W1 UIs. Define stable route arguments around ConversationId rather than passing mutable screen objects. Title must open new-chat/history/settings/about destinations; History must open a selected conversation; Active Chat must preserve conversation identity across back navigation. Keep routing separate from repository/provider implementation so later Room/Gemini work can replace data sources without changing destinations.</t>
  </si>
  <si>
    <t>UI-002, UI-003, UI-004</t>
  </si>
  <si>
    <t>navigation/; domain/model/identity/; ui/*</t>
  </si>
  <si>
    <t>typed route definitions, NavHost/navigation coordinator, ConversationId, destination resolver/back-stack rules</t>
  </si>
  <si>
    <t>Inputs: navigation actions from Title/History/Active Chat and selected ConversationId. Outputs: deterministic destination/back-stack state and stable conversation identity passed to the receiving screen.</t>
  </si>
  <si>
    <t>Navigation tests cover Title -&gt; new Active Chat, Title -&gt; History/Settings/About, History row -&gt; selected Active Chat and sensible back behavior. Verify routing passes stable IDs only and creating/opening one conversation cannot accidentally replace another.</t>
  </si>
  <si>
    <t>Every required screen is reachable through the intended user path and History can select a conversation for Active Chat without coupling navigation to in-memory/Room/Gemini implementations.</t>
  </si>
  <si>
    <t>FLOW-002</t>
  </si>
  <si>
    <t>Implement local Active Chat interaction and conversation state</t>
  </si>
  <si>
    <t>Turn the Active Chat UI into a real local state machine before Gemini or Room are introduced. Define the domain conversation/message model required by chat behavior, including stable IDs, deterministic order and explicit user/model roles. Handle draft changes, valid local sends, duplicate-send protection and the mandatory edit/rewrite rule against in-memory state. Keep the same state/action boundary from UI-002 so later provider/persistence integration replaces effects rather than rewriting the composables.</t>
  </si>
  <si>
    <t>UI-002, FLOW-001</t>
  </si>
  <si>
    <t>domain/model/; domain/chat/; ui/chat/</t>
  </si>
  <si>
    <t>Conversation, Message, Role, ActiveChatViewModel/reducer/state holder, local send operation, edit/rewrite operation</t>
  </si>
  <si>
    <t>Inputs: typed ActiveChatAction events and selected ConversationId. Outputs: immutable ActiveChatUiState, ordered local messages and explicit one-shot effects/errors where needed.</t>
  </si>
  <si>
    <t>Pure/state tests cover stable IDs, deterministic order/roles, draft changes, empty send rejection, repeated-send guard, user-message insertion, edit of first/middle/latest eligible user messages and suffix replacement without touching unrelated conversations.</t>
  </si>
  <si>
    <t>Active Chat behaves correctly against local/fake data and exposes stable conversation/message contracts that Gemini and Room can implement later.</t>
  </si>
  <si>
    <t>REQ-007, REQ-008, REQ-013, REQ-016</t>
  </si>
  <si>
    <t>FLOW-003</t>
  </si>
  <si>
    <t>Implement local History lifecycle: new, open, delete and resume</t>
  </si>
  <si>
    <t>Complete the local conversation lifecycle around Title/History/Active Chat. Define how a new conversation becomes active, how History opens one, how delete updates the list/active selection, and what the app should try to resume on startup. Keep storage in memory for now, but put the behavior behind a small repository/state boundary so Room can replace it later without rewriting screen logic.</t>
  </si>
  <si>
    <t>UI-003, FLOW-001, FLOW-002</t>
  </si>
  <si>
    <t>domain/repository/; ui/history/; navigation/; data/inmemory/</t>
  </si>
  <si>
    <t>temporary in-memory ConversationRepository, History state holder, active-conversation resolver, new/open/delete/resume operations</t>
  </si>
  <si>
    <t>Inputs: new/open/delete/startup events. Outputs: active conversation ID, history list and safe fallback destination.</t>
  </si>
  <si>
    <t>Tests cover multiple conversations, delete only target chat, deleting the active chat, opening a missing chat, startup with valid/missing/no active conversation and History refresh after changes.</t>
  </si>
  <si>
    <t>The complete mandatory local lifecycle is demonstrable before adding Room, with semantics already fixed for the persistence task.</t>
  </si>
  <si>
    <t>REQ-014, REQ-015</t>
  </si>
  <si>
    <t>M2-001</t>
  </si>
  <si>
    <t>Stabilize and verify the mentor_2 demonstrable baseline</t>
  </si>
  <si>
    <t>Treat verification as part of the result rather than splitting every smoke check into issues. Exercise the current UI/navigation/local-chat product as a coherent demo, fix obvious defects, record the key design decisions made so far and define a short repeatable verification path that both students can run before recording.</t>
  </si>
  <si>
    <t>FLOW-001, FLOW-002, FLOW-003</t>
  </si>
  <si>
    <t>test/; androidTest/; milestone notes in repository/GitHub issue</t>
  </si>
  <si>
    <t>mentor_2 smoke/regression scenario, decision summary, known-limitations list</t>
  </si>
  <si>
    <t>Inputs: W1–W2 build. Outputs: stable demonstrable baseline + repeatable verification scenario.</t>
  </si>
  <si>
    <t>Run Title -&gt; New Chat -&gt; local send/edit -&gt; History -&gt; reopen/delete -&gt; Settings/About on a clean state. Any known limitation shown in the video must be explicit rather than hidden.</t>
  </si>
  <si>
    <t>Both students can reproduce the same mentor_2 scenario without manual repair or undocumented steps.</t>
  </si>
  <si>
    <t>REQ-023</t>
  </si>
  <si>
    <t>M2-002</t>
  </si>
  <si>
    <t>Publish mentor_2 evidence and tag</t>
  </si>
  <si>
    <t>Create the complete mentor_2 delivery package as one task: record the required 5–7 minute demo, add the durable video link/evidence location to the README, verify decisions/verification strategy are understandable and create the mentor_2 tag on the exact demonstrated commit. Do not turn the permanent README into a week-by-week status log.</t>
  </si>
  <si>
    <t>M2-001, SETUP-001</t>
  </si>
  <si>
    <t>README.md; repository tag; video hosting</t>
  </si>
  <si>
    <t>5–7 minute video, README evidence link, mentor_2 tag</t>
  </si>
  <si>
    <t>Inputs: verified mentor_2 build/scenario. Outputs: externally reviewable milestone evidence.</t>
  </si>
  <si>
    <t>Check video length/audio/readability; README link works; tagged commit reproduces the demo; project/build sections remain atemporal.</t>
  </si>
  <si>
    <t>A reviewer can open the repo, find the mentor_2 evidence and run the same tagged baseline.</t>
  </si>
  <si>
    <t>REQ-019, REQ-023</t>
  </si>
  <si>
    <t>ARCH-001</t>
  </si>
  <si>
    <t>Introduce the application composition and domain boundaries</t>
  </si>
  <si>
    <t>Create the minimum architecture needed for real services without over-engineering. Use DroidMentorApplication as the manual composition root/service locator; define interfaces such as ConversationRepository, SettingsRepository and MentorProvider plus only the focused use cases actually needed by current flows. Keep everything inside the single app module and package by responsibility rather than creating new Gradle modules.</t>
  </si>
  <si>
    <t>M2-002, FLOW-001</t>
  </si>
  <si>
    <t>DroidMentorApplication.kt; domain/repository/; domain/usecase/; data/repository/</t>
  </si>
  <si>
    <t>manual service locator, ConversationRepository, SettingsRepository, MentorProvider, core use cases</t>
  </si>
  <si>
    <t>Inputs: existing local UI/domain contracts. Outputs: injectable app services/interfaces consumed by presentation logic.</t>
  </si>
  <si>
    <t>Unit tests use simple fakes for interfaces; app startup resolves all dependencies; verify no Hilt/Dagger and no UI class imports Ktor/Room implementations directly.</t>
  </si>
  <si>
    <t>Network and persistence can be added behind stable boundaries without restructuring the UI or creating extra modules.</t>
  </si>
  <si>
    <t>REQ-001, REQ-003, REQ-005</t>
  </si>
  <si>
    <t>ARCH-002</t>
  </si>
  <si>
    <t>Move screen behavior to testable ViewModel/state contracts</t>
  </si>
  <si>
    <t>Replace temporary screen-local state where needed with immutable UI state and typed actions/events coordinated by ViewModels (or equivalent lifecycle-aware presentation controllers). Keep composables as renderers/event emitters. Consolidate reusable fakes and test fixtures here instead of creating a separate testing-infrastructure task.</t>
  </si>
  <si>
    <t>ARCH-001, FLOW-002, FLOW-003</t>
  </si>
  <si>
    <t>ui/*/*ViewModel.kt; ui/*/*UiState.kt; test/fakes/</t>
  </si>
  <si>
    <t>Active Chat, History, Settings and any required Title state holders; deterministic fake repositories/provider</t>
  </si>
  <si>
    <t>Inputs: UI actions + repository/provider/use-case results. Outputs: immutable UI state and one-off navigation/effect signals where necessary.</t>
  </si>
  <si>
    <t>State-transition tests cover main user actions, loading/error state, deletion/resume and settings changes using fakes. Compose tests should remain able to render states without real services.</t>
  </si>
  <si>
    <t>Presentation logic is independently testable and ready to swap fake services for real DataStore/Ktor/Room implementations.</t>
  </si>
  <si>
    <t>NET-001</t>
  </si>
  <si>
    <t>Implement the Gemini transport foundation</t>
  </si>
  <si>
    <t>Build the complete transport boundary as one coherent result instead of separate tasks for client, DTOs, connectivity and errors. Configure Ktor + Kotlinx Serialization, model the generateContent request/response DTOs and role/content mapping, add a ConnectivityChecker used before requests, and normalize auth/429/5xx/timeout/transport/protocol failures into an app-level ProviderFailure model while preserving cancellation. Use a Ktor test engine/fixtures so payloads and failures are deterministic.</t>
  </si>
  <si>
    <t>data/remote/gemini/; platform/connectivity/</t>
  </si>
  <si>
    <t>Ktor client factory, JSON config, Gemini DTOs/mappers, ConnectivityChecker, ProviderFailure/error mapper</t>
  </si>
  <si>
    <t>Inputs: provider request model + API key. Outputs: decoded Gemini response or typed ProviderFailure; no HTTP call when clearly offline.</t>
  </si>
  <si>
    <t>Fixture tests cover serialization/deserialization, user/model role mapping, system-instruction field support, offline no-request behavior, 429 Retry-After, auth, 500/503, timeout, malformed payload and cancellation.</t>
  </si>
  <si>
    <t>The transport layer is testable without UI and exposes one clean provider-facing boundary for Gemini integration.</t>
  </si>
  <si>
    <t>REQ-002, REQ-004, REQ-009, REQ-011, REQ-012</t>
  </si>
  <si>
    <t>NET-002</t>
  </si>
  <si>
    <t>Implement BYOK storage and Settings behavior</t>
  </si>
  <si>
    <t>Persist the user's Gemini API key locally with DataStore and connect the Settings UI to a SettingsRepository/ViewModel contract. Save/remove/read must be explicit; the key must never be stored in Room conversation rows or logged. Keep validation pragmatic (for example non-blank/local format checks) and let real provider authentication failures remain provider failures.</t>
  </si>
  <si>
    <t>ARCH-001, ARCH-002, UI-004</t>
  </si>
  <si>
    <t>data/settings/; ui/settings/</t>
  </si>
  <si>
    <t>DataStore-backed SettingsRepository, SettingsViewModel, masked key state, Save/Remove actions</t>
  </si>
  <si>
    <t>Inputs: user-entered key. Outputs: configured/unconfigured local settings state and key retrieval for MentorProvider calls.</t>
  </si>
  <si>
    <t>Tests cover save/read/remove/restart behavior, configured-state UI and absence of key data from conversation persistence/log output.</t>
  </si>
  <si>
    <t>A user can configure or remove BYOK through Settings and the provider layer can obtain the current key through the repository boundary.</t>
  </si>
  <si>
    <t>REQ-006</t>
  </si>
  <si>
    <t>GEM-001</t>
  </si>
  <si>
    <t>Implement the stateless Gemini conversation adapter</t>
  </si>
  <si>
    <t>Implement MentorProvider around the transport foundation and make local conversation state the only source of request context. Build every request from the selected ordered local user/model history plus the Android mentor system instruction and the current BYOK key, then call the required Gemini generateContent endpoint. Keep provider-specific DTOs/mapping inside data/remote/gemini; expose domain-level response content/failure. Structure the response contract so later streaming can be added without rewriting the Active Chat UI.</t>
  </si>
  <si>
    <t>NET-001, NET-002, FLOW-001</t>
  </si>
  <si>
    <t>data/remote/gemini/; domain/provider/</t>
  </si>
  <si>
    <t>GeminiMentorProvider, request builder/history mapper, system instruction source</t>
  </si>
  <si>
    <t>Inputs: Conversation/messages + key + provider options. Outputs: model content (or domain response events) / ProviderFailure.</t>
  </si>
  <si>
    <t>Inspect outbound request bodies in tests: correct role order, complete history, system instruction, new/empty conversation behavior and no hidden remote session ID/state. Happy-path adapter test uses Ktor test engine.</t>
  </si>
  <si>
    <t>Any conversation can reconstruct its provider request solely from local state and produce a domain response without UI knowing Ktor/Gemini DTO details.</t>
  </si>
  <si>
    <t>REQ-002, REQ-007, REQ-008, REQ-009</t>
  </si>
  <si>
    <t>GEM-002</t>
  </si>
  <si>
    <t>Connect Active Chat to Gemini responses and failures</t>
  </si>
  <si>
    <t>Replace the local fake-send hook with the real MentorProvider/use-case flow while keeping the UI contract stable. On send, commit exactly one user turn, show sending/thinking state, prevent duplicate submissions, invoke the provider, render the returned model message and expose a retryable error state without inventing an assistant message on failure. If incremental/streaming responses are enabled later, update the same state progressively rather than creating a separate UI architecture.</t>
  </si>
  <si>
    <t>ARCH-002, GEM-001, NET-001</t>
  </si>
  <si>
    <t>ui/chat/; domain/usecase/; data/remote/gemini/</t>
  </si>
  <si>
    <t>send-message use case, ActiveChatViewModel integration, loading/thinking/error/retry state</t>
  </si>
  <si>
    <t>Inputs: SendClicked + draft/current conversation. Outputs: updated message list, model response or typed UI error/retry action.</t>
  </si>
  <si>
    <t>Tests cover success, offline, 429/5xx/timeout, retry, double-send prevention, cancellation, response rendering and no duplicate/fake turns. Provider request inspection confirms current local history is used.</t>
  </si>
  <si>
    <t>A user can have a real stateless Gemini conversation from Active Chat with deterministic loading/error/retry behavior.</t>
  </si>
  <si>
    <t>REQ-001, REQ-002, REQ-011, REQ-012, REQ-013</t>
  </si>
  <si>
    <t>DB-001</t>
  </si>
  <si>
    <t>Implement the Room conversation persistence stack</t>
  </si>
  <si>
    <t>Implement Room as one complete persistence result rather than separate schema/DAO/repository tasks. Define ConversationEntity and MessageEntity with stable IDs, timestamps/order, role/content and the minimal metadata needed for active conversation/rewrite; create DAOs, relations/indices, DroidMentorDatabase, Room-backed ConversationRepository and a migration-test baseline. Keep provider DTOs and attachment bytes out of these tables.</t>
  </si>
  <si>
    <t>ARCH-001, FLOW-001</t>
  </si>
  <si>
    <t>data/local/room/; data/repository/</t>
  </si>
  <si>
    <t>ConversationEntity, MessageEntity, DAOs, Room database, mappers, RoomConversationRepository, migration test harness</t>
  </si>
  <si>
    <t>Inputs: domain conversation/message operations. Outputs: transactional persisted domain state in deterministic order.</t>
  </si>
  <si>
    <t>Room/repository tests cover create/update/read multiple conversations, deterministic message order, atomic writes and reopen after database recreation. Schema inspection proves provider DTOs/raw file bytes are absent.</t>
  </si>
  <si>
    <t>The existing ConversationRepository contract is backed by Room and can persist/reconstruct the same domain objects used by UI/Gemini.</t>
  </si>
  <si>
    <t>REQ-005</t>
  </si>
  <si>
    <t>DB-002</t>
  </si>
  <si>
    <t>Integrate persisted History, offline read, resume and deletion</t>
  </si>
  <si>
    <t>Replace the in-memory lifecycle repository with Room and connect History/startup behavior as one user-facing persistence result. Stored conversations must populate History and Active Chat without network access; startup should resolve the last valid active conversation or fall back safely; delete must remove only the target conversation/messages and clear active selection if necessary.</t>
  </si>
  <si>
    <t>DB-001, FLOW-003, ARCH-002</t>
  </si>
  <si>
    <t>ui/history/; navigation/startup; data/local/room/</t>
  </si>
  <si>
    <t>Room-backed history stream, active conversation metadata/resolver, delete transaction</t>
  </si>
  <si>
    <t>Inputs: app restart/new/open/delete actions. Outputs: durable history/active selection and offline-readable conversation state.</t>
  </si>
  <si>
    <t>Integration tests cover create -&gt; kill/restart -&gt; reopen, offline history/messages, multiple chats, delete inactive/active chat, missing active ID and no-network startup.</t>
  </si>
  <si>
    <t>The mandatory history/resume/delete flows behave the same after restart and remain usable offline.</t>
  </si>
  <si>
    <t>REQ-010, REQ-014, REQ-015</t>
  </si>
  <si>
    <t>DB-003</t>
  </si>
  <si>
    <t>Persist edit/rewrite semantics and rebuild provider context</t>
  </si>
  <si>
    <t>Move the mandatory edit/suffix-replacement operation onto persisted data in a Room transaction. Editing a user message must preserve the valid prefix, remove/replace the invalid suffix atomically, reload the resulting conversation and ensure the next Gemini request is rebuilt from that persisted local history. Keep optional non-destructive branching out of this task.</t>
  </si>
  <si>
    <t>DB-001, FLOW-002, GEM-001</t>
  </si>
  <si>
    <t>domain/chat/; data/local/room/; ui/chat/</t>
  </si>
  <si>
    <t>edit-message use case, Room transaction, repository reload, provider-context rebuild</t>
  </si>
  <si>
    <t>Inputs: target message ID + replacement content. Outputs: updated persisted conversation and new selected history for subsequent provider call.</t>
  </si>
  <si>
    <t>Tests edit first/middle/latest eligible messages, restart after edit, verify removed suffix rows are not visible, inspect the next Gemini request and prove transaction failure does not leave partial state.</t>
  </si>
  <si>
    <t>Mandatory edit behavior is durable, atomic and consistent with the provider context after restart.</t>
  </si>
  <si>
    <t>REQ-016</t>
  </si>
  <si>
    <t>M3-001</t>
  </si>
  <si>
    <t>Qualify the complete mandatory product</t>
  </si>
  <si>
    <t>Run the mandatory app as a product, not as isolated task tests. Build a compact acceptance/regression matrix covering clean install, configured BYOK, new/open chat, Gemini send, stored history, restart, offline read, provider failures, delete and edit/rewrite. Fix release-blocking mandatory defects discovered during this pass and record any remaining lower-priority issue with an owner.</t>
  </si>
  <si>
    <t>GEM-002, DB-002, DB-003</t>
  </si>
  <si>
    <t>test/; androidTest/; GitHub milestone issue/evidence</t>
  </si>
  <si>
    <t>mandatory acceptance matrix, reproducible test data, defect list</t>
  </si>
  <si>
    <t>Inputs: integrated W4–W7 build. Outputs: evidence that REQ-001→REQ-016 work together.</t>
  </si>
  <si>
    <t>Run scenarios from fresh and populated state; repeat restart/offline/failure cases; ensure one failed scenario does not poison the next. Both students should be able to reproduce the matrix.</t>
  </si>
  <si>
    <t>Mandatory baseline is green or every remaining defect is explicitly owned/prioritized before recording mentor_3.</t>
  </si>
  <si>
    <t>REQ-001→REQ-016</t>
  </si>
  <si>
    <t>M3-002</t>
  </si>
  <si>
    <t>Publish mentor_3 evidence and tag</t>
  </si>
  <si>
    <t>Package the mentor_3 milestone in one task: record the required 5–7 minute demonstration of the integrated mandatory baseline, update the durable README evidence area, confirm the tagged commit matches what is shown and create mentor_3. The video should demonstrate real Room/Gemini/offline/failure behavior, not staged placeholders.</t>
  </si>
  <si>
    <t>M3-001, SETUP-001</t>
  </si>
  <si>
    <t>mentor_3 video, README link, mentor_3 tag</t>
  </si>
  <si>
    <t>Inputs: qualified mandatory build. Outputs: reviewable mentor_3 milestone package.</t>
  </si>
  <si>
    <t>Check video duration/audio, README link, tagged commit and reproducibility of the shown scenarios.</t>
  </si>
  <si>
    <t>A reviewer can understand and verify the complete mandatory product from the tagged repository and video.</t>
  </si>
  <si>
    <t>REQ-019, REQ-024</t>
  </si>
  <si>
    <t>BR-001</t>
  </si>
  <si>
    <t>Implement the branching domain model and active-path rules</t>
  </si>
  <si>
    <t>Define the non-destructive graph model as one cohesive domain result. Add stable node/message IDs, parent relation, branch/head/active selection and an active-path resolver that returns one deterministic root-to-head conversation for UI/provider use. Validate graph invariants in the same task rather than creating one task per invariant: duplicate IDs, missing/cross-conversation/self parents, cycles and invalid heads must be rejected.</t>
  </si>
  <si>
    <t>M3-002, FLOW-001</t>
  </si>
  <si>
    <t>domain/branching/</t>
  </si>
  <si>
    <t>branch graph model, validator, active-path resolver, provenance/identity rules</t>
  </si>
  <si>
    <t>Inputs: conversation graph + selected head. Outputs: validated graph and ordered active path.</t>
  </si>
  <si>
    <t>One domain test matrix covers all invalid-graph cases plus shared prefix, branch switch, deterministic order and preservation of original nodes.</t>
  </si>
  <si>
    <t>Branching semantics are fully specified/tested before persistence/UI work, with one selected path suitable for Gemini request construction.</t>
  </si>
  <si>
    <t>BR-002</t>
  </si>
  <si>
    <t>Persist branching and implement edit/regenerate alternatives</t>
  </si>
  <si>
    <t>Extend Room with a migration that can represent branch parent/head/active metadata while preserving existing linear conversations as valid single-path graphs. Implement non-destructive edit-as-alternative and regenerate-model flows behind use cases/repository transactions; original nodes remain available and the provider receives only the selected active path. Publication/selection updates should be transactional and failure-safe.</t>
  </si>
  <si>
    <t>BR-001, DB-001, DB-003</t>
  </si>
  <si>
    <t>data/local/room/; domain/branching/; domain/usecase/</t>
  </si>
  <si>
    <t>Room migration, branch persistence, edit-as-branch, regenerate use cases, active-head persistence</t>
  </si>
  <si>
    <t>Inputs: selected message/head + alternative content/regenerate action. Outputs: new branch nodes and updated active selection without deleting original history.</t>
  </si>
  <si>
    <t>Migration tests open old linear data and resolve the same conversation; use-case tests cover edit/regenerate success/failure, original preservation and provider request inspection for selected path.</t>
  </si>
  <si>
    <t>Existing users migrate safely and branching alternatives persist/reopen without corrupting mandatory conversation data.</t>
  </si>
  <si>
    <t>BR-003</t>
  </si>
  <si>
    <t>Add branch controls to Active Chat and qualify branching</t>
  </si>
  <si>
    <t>Integrate branching into the existing Active Chat UI without exposing graph internals. Reuse the edit entry point and add a compact alternative indicator/previous-next selector (or equivalent) only where alternatives exist. Switching changes the selected visible path; it must not mutate graph history. Complete the feature with an end-to-end scenario covering edit/regenerate, switch, restart and the exact history sent to Gemini.</t>
  </si>
  <si>
    <t>BR-002, UI-002, GEM-001</t>
  </si>
  <si>
    <t>ui/chat/; domain/branching/; data/local/room/</t>
  </si>
  <si>
    <t>branch indicator/controls, ActiveChat state integration, branching E2E scenario</t>
  </si>
  <si>
    <t>Inputs: branch availability + switch/edit/regenerate actions. Outputs: selected active path shown in UI and used for provider context.</t>
  </si>
  <si>
    <t>Compose tests cover control visibility/switch actions; E2E test covers alternative creation, branch switching, restart, original preservation and outbound Gemini history.</t>
  </si>
  <si>
    <t>A user can create and navigate alternatives naturally while the selected path remains the single source for display and provider context.</t>
  </si>
  <si>
    <t>ORG-001</t>
  </si>
  <si>
    <t>Implement conversation search and organization</t>
  </si>
  <si>
    <t>Treat search, rename and pin as one History organization feature. Extend persisted conversation metadata for rename/pin, define search semantics as title OR message text from the selected active path, deduplicate by conversation and sort pinned first then lastActivityAt descending with stable tie-break. Add the query field, clear/no-results states, pinned marker and result opening to the existing History screen; only add debounce if observed UI behavior needs it.</t>
  </si>
  <si>
    <t>DB-001, DB-002, UI-003, BR-003</t>
  </si>
  <si>
    <t>domain/search/; data/local/room/; ui/history/</t>
  </si>
  <si>
    <t>search/query repository operation, rename/pin use cases, History search state/UI</t>
  </si>
  <si>
    <t>Inputs: query + persisted conversations/active paths. Outputs: ordered conversation results and durable rename/pin metadata.</t>
  </si>
  <si>
    <t>Repository/UI tests cover title/message matches, inactive-branch exclusion, dedupe, pinned/recent ordering, rename, pin/unpin, clear/no-results and opening the intended conversation after restart.</t>
  </si>
  <si>
    <t>History provides useful organization as one coherent feature without separate microtasks for each control or state.</t>
  </si>
  <si>
    <t>RSN-001</t>
  </si>
  <si>
    <t>Implement provider-gated reasoning end to end</t>
  </si>
  <si>
    <t>Represent reasoning as a real provider capability rather than UI decoration. Discover/model supported options (Auto/Low/Medium/High only where the selected Gemini model/API genuinely supports them), persist the user's preference, expose the selector in Settings only when available and map the selected value into the provider request. Unsupported capability must hide/fall back safely; never simulate reasoning with prompt text or claim hidden chain-of-thought.</t>
  </si>
  <si>
    <t>NET-002, GEM-001, UI-004</t>
  </si>
  <si>
    <t>domain/provider/; data/settings/; data/remote/gemini/; ui/settings/</t>
  </si>
  <si>
    <t>provider capability model, reasoning preference, Settings selector, request mapping</t>
  </si>
  <si>
    <t>Inputs: provider/model capabilities + saved preference. Outputs: gated Settings state and supported request parameter.</t>
  </si>
  <si>
    <t>Tests cover supported/unsupported capability, persistence/restart, option filtering, fallback to Auto/hidden selector and outbound request payloads for supported choices.</t>
  </si>
  <si>
    <t>Reasoning controls are truthful, persistent and provider-backed without changing conversation semantics.</t>
  </si>
  <si>
    <t>FILE-001</t>
  </si>
  <si>
    <t>Implement the local image attachment pipeline</t>
  </si>
  <si>
    <t>Build the image-first attachment foundation as one pipeline: define attachment metadata/ownership, support gallery/picker and camera intake, validate input, copy accepted bytes into app-private storage and persist only metadata/path/URI in Room. Include lifecycle/ownership rules now so later cleanup is safe. Raw Base64/blob data must never be stored in Room.</t>
  </si>
  <si>
    <t>DB-001, M3-002</t>
  </si>
  <si>
    <t>platform/files/; data/local/room/; domain/attachment/</t>
  </si>
  <si>
    <t>Attachment model/entity/DAO, local file store, picker/camera intake, validation/lifecycle rules</t>
  </si>
  <si>
    <t>Inputs: selected/captured image URI/result. Outputs: app-owned file + persisted attachment metadata linked to a conversation/message draft.</t>
  </si>
  <si>
    <t>Tests/manual harness cover picker/camera cancel, invalid type/size, successful copy, missing local file, restart resolution and database inspection proving metadata-only storage.</t>
  </si>
  <si>
    <t>The app owns valid image bytes locally and can reconstruct attachment metadata after restart without provider encoding stored in the database.</t>
  </si>
  <si>
    <t>REQ-017, REQ-018</t>
  </si>
  <si>
    <t>FILE-002</t>
  </si>
  <si>
    <t>Integrate image attachments with Active Chat and Gemini</t>
  </si>
  <si>
    <t>Wire the existing Add entry point to the attachment pipeline, show selected previews/remove-before-send state, render sent image attachments with messages and convert app-owned files into the Gemini request representation only at request time. Add safe cleanup for true orphan files while protecting referenced attachments. Qualify the complete gallery/camera -&gt; local storage -&gt; Room metadata -&gt; reopen -&gt; Gemini request flow in the same task.</t>
  </si>
  <si>
    <t>FILE-001, UI-002, GEM-001</t>
  </si>
  <si>
    <t>ui/chat/; data/remote/gemini/; platform/files/</t>
  </si>
  <si>
    <t>attachment draft UI, message preview, Gemini image-part mapper, orphan cleanup, attachment E2E tests</t>
  </si>
  <si>
    <t>Inputs: AddAttachment action + stored attachment refs. Outputs: chat preview/message attachment and transient provider image part.</t>
  </si>
  <si>
    <t>Compose tests cover add/remove/preview; request tests inspect image parts; cleanup tests protect referenced files; E2E covers gallery/camera success, reopen and failure/cancel paths.</t>
  </si>
  <si>
    <t>Image attachments work end to end without leaking provider encoding into persistence, and generic files remain out unless separately promoted.</t>
  </si>
  <si>
    <t>REL-001</t>
  </si>
  <si>
    <t>Qualify and harden the final release</t>
  </si>
  <si>
    <t>Freeze feature scope and run the release as one acceptance/hardening task. Execute mandatory scenarios first, then only optional features retained in the release; triage every failure, fix release-blocking defects and polish loading/empty/error/disabled states without changing stable semantics unnecessarily. Track remaining P1/P2 issues explicitly instead of creating a large late microtask list.</t>
  </si>
  <si>
    <t>M3-002, BR-003, ORG-001, RSN-001, FILE-002</t>
  </si>
  <si>
    <t>test/; androidTest/; all enabled UI/data/provider packages</t>
  </si>
  <si>
    <t>final regression matrix, defect triage, targeted fixes, UI state polish</t>
  </si>
  <si>
    <t>Inputs: release candidate. Outputs: qualified stable build and owned residual issues.</t>
  </si>
  <si>
    <t>Fresh install, restart, offline, provider failure, edit/delete/resume and every retained optional feature pass. No P0 defects remain; accepted P1/P2 issues have owner/release decision.</t>
  </si>
  <si>
    <t>The release candidate is stable enough to tag and demonstrate, with mandatory acceptance independent from optional features.</t>
  </si>
  <si>
    <t>REQ-001→REQ-016, REQ-025</t>
  </si>
  <si>
    <t>REL-002</t>
  </si>
  <si>
    <t>Publish final documentation, video and mentor_f release</t>
  </si>
  <si>
    <t>Complete the final delivery as one coherent publication task. Make README.md a durable project entry point (purpose, full team identification, stack, architecture overview, build/run, project management and milestone video links), remove intermediate external-document references and temporary planning labels, record the required 5–7 minute final demo of the qualified build and create mentor_f on the exact demonstrated commit.</t>
  </si>
  <si>
    <t>REL-001, SETUP-001</t>
  </si>
  <si>
    <t>README.md; concise docs/architecture if retained; repository tag; video hosting</t>
  </si>
  <si>
    <t>atemporal README, final video, mentor_f tag, final evidence links</t>
  </si>
  <si>
    <t>Inputs: qualified release candidate + team identifiers. Outputs: durable documentation and formal final milestone.</t>
  </si>
  <si>
    <t>A new reader can understand/build the app without handovers; team section uses Miguel Alves (MAlves4018) and Martim Gomes (MarsGomes) with student numbers/emails filled; video is 5–7 minutes and matches tagged build; all links work.</t>
  </si>
  <si>
    <t>Final integrated app, documentation, video and mentor_f evidence are complete and mutually consistent.</t>
  </si>
  <si>
    <t>REQ-019, REQ-021, REQ-025</t>
  </si>
  <si>
    <t>Deliverable ID</t>
  </si>
  <si>
    <t>Milestone</t>
  </si>
  <si>
    <t>Class</t>
  </si>
  <si>
    <t>Outcome</t>
  </si>
  <si>
    <t>Key tasks</t>
  </si>
  <si>
    <t>Evidence</t>
  </si>
  <si>
    <t>DEL-001</t>
  </si>
  <si>
    <t>mentor_1</t>
  </si>
  <si>
    <t>Academic milestone</t>
  </si>
  <si>
    <t>Repository, team identification, semester plan/ownership and formal mentor_1 tag.</t>
  </si>
  <si>
    <t>SETUP-001, SETUP-002, SETUP-003</t>
  </si>
  <si>
    <t>mentor_1 tag + repository evidence</t>
  </si>
  <si>
    <t>DEL-002</t>
  </si>
  <si>
    <t>mentor_2</t>
  </si>
  <si>
    <t>First demonstrable app baseline with required screens, navigation/local chat behavior, verification story, 5–7 minute video and tag.</t>
  </si>
  <si>
    <t>UI-001, UI-002, UI-003, UI-004, FLOW-001, FLOW-002, FLOW-003, M2-001, M2-002</t>
  </si>
  <si>
    <t>mentor_2 video + README link + tag</t>
  </si>
  <si>
    <t>DEL-003</t>
  </si>
  <si>
    <t>mentor_3</t>
  </si>
  <si>
    <t>Complete mandatory product integrated across architecture, BYOK, Gemini, Room, offline and required lifecycle behavior.</t>
  </si>
  <si>
    <t>ARCH-001, ARCH-002, NET-001, NET-002, GEM-001, GEM-002, DB-001, DB-002, DB-003, M3-001, M3-002</t>
  </si>
  <si>
    <t>mentor_3 video + README link + tag</t>
  </si>
  <si>
    <t>DEL-004</t>
  </si>
  <si>
    <t>mentor_f</t>
  </si>
  <si>
    <t>Stable final release with qualified retained optional features, atemporal documentation, final 5–7 minute video and mentor_f tag.</t>
  </si>
  <si>
    <t>Mandatory final delivery</t>
  </si>
  <si>
    <t>BR-001, BR-002, BR-003, ORG-001, RSN-001, FILE-001, FILE-002, REL-001, REL-002</t>
  </si>
  <si>
    <t>final video + README + mentor_f tag</t>
  </si>
  <si>
    <t>Requirement</t>
  </si>
  <si>
    <t>Description</t>
  </si>
  <si>
    <t>Assignment status</t>
  </si>
  <si>
    <t>Covering tasks</t>
  </si>
  <si>
    <t>Coverage</t>
  </si>
  <si>
    <t>REQ-001</t>
  </si>
  <si>
    <t>Android BYOK mentor client</t>
  </si>
  <si>
    <t>SETUP-002, GEM-002, M3-001, REL-001</t>
  </si>
  <si>
    <t>Covered</t>
  </si>
  <si>
    <t>REQ-002</t>
  </si>
  <si>
    <t>Gemini REST /generateContent</t>
  </si>
  <si>
    <t>NET-001, GEM-001, GEM-002</t>
  </si>
  <si>
    <t>REQ-003</t>
  </si>
  <si>
    <t>Application Service Locator; no Hilt/Dagger</t>
  </si>
  <si>
    <t>SETUP-002, ARCH-001</t>
  </si>
  <si>
    <t>REQ-004</t>
  </si>
  <si>
    <t>Ktor + Kotlinx Serialization</t>
  </si>
  <si>
    <t>Room conversation history</t>
  </si>
  <si>
    <t>ARCH-001, DB-001, DB-002</t>
  </si>
  <si>
    <t>DataStore for BYOK API key</t>
  </si>
  <si>
    <t>UI-004, NET-002</t>
  </si>
  <si>
    <t>REQ-007</t>
  </si>
  <si>
    <t>Gemini stateless; no remote session state</t>
  </si>
  <si>
    <t>FLOW-002, GEM-001</t>
  </si>
  <si>
    <t>REQ-008</t>
  </si>
  <si>
    <t>Send full user/model history each request</t>
  </si>
  <si>
    <t>REQ-009</t>
  </si>
  <si>
    <t>Use Android mentor system_instruction</t>
  </si>
  <si>
    <t>NET-001, GEM-001</t>
  </si>
  <si>
    <t>REQ-010</t>
  </si>
  <si>
    <t>Stored conversations readable offline</t>
  </si>
  <si>
    <t>DB-002, M3-001, REL-001</t>
  </si>
  <si>
    <t>REQ-011</t>
  </si>
  <si>
    <t>Connectivity check before API call</t>
  </si>
  <si>
    <t>NET-001, GEM-002, M3-001</t>
  </si>
  <si>
    <t>REQ-012</t>
  </si>
  <si>
    <t>Graceful 429/500/external failures</t>
  </si>
  <si>
    <t>Title, Chat History, Active Chat, About and Settings screens</t>
  </si>
  <si>
    <t>UI-001, UI-002, UI-003, UI-004, FLOW-001, FLOW-002</t>
  </si>
  <si>
    <t>REQ-014</t>
  </si>
  <si>
    <t>Resume active conversation on startup</t>
  </si>
  <si>
    <t>FLOW-003, DB-002, M3-001</t>
  </si>
  <si>
    <t>REQ-015</t>
  </si>
  <si>
    <t>Delete conversations</t>
  </si>
  <si>
    <t>UI-003, FLOW-003, DB-002, M3-001</t>
  </si>
  <si>
    <t>Edit message and replace invalid suffix</t>
  </si>
  <si>
    <t>UI-002, FLOW-002, DB-003, M3-001</t>
  </si>
  <si>
    <t>REQ-017</t>
  </si>
  <si>
    <t>Optional images from gallery/camera</t>
  </si>
  <si>
    <t>Optional</t>
  </si>
  <si>
    <t>FILE-001, FILE-002</t>
  </si>
  <si>
    <t>REQ-018</t>
  </si>
  <si>
    <t>If images: local files; Room stores path/URI/metadata only</t>
  </si>
  <si>
    <t>REQ-019</t>
  </si>
  <si>
    <t>Formal tags mentor_1 / mentor_2 / mentor_3 / mentor_f</t>
  </si>
  <si>
    <t>SETUP-003, M2-002, M3-002, REL-002</t>
  </si>
  <si>
    <t>REQ-020</t>
  </si>
  <si>
    <t>Professor repository access</t>
  </si>
  <si>
    <t>REQ-021</t>
  </si>
  <si>
    <t>README team identification</t>
  </si>
  <si>
    <t>SETUP-001, REL-002</t>
  </si>
  <si>
    <t>REQ-022</t>
  </si>
  <si>
    <t>mentor_1 plan / timeline / tasks / owners</t>
  </si>
  <si>
    <t>SETUP-001, SETUP-003</t>
  </si>
  <si>
    <t>mentor_2 video + README link</t>
  </si>
  <si>
    <t>M2-001, M2-002</t>
  </si>
  <si>
    <t>REQ-024</t>
  </si>
  <si>
    <t>mentor_3 video + README link</t>
  </si>
  <si>
    <t>M3-001, M3-002</t>
  </si>
  <si>
    <t>REQ-025</t>
  </si>
  <si>
    <t>Final stable app + final video/tag/README</t>
  </si>
  <si>
    <t>REL-001, REL-002</t>
  </si>
  <si>
    <t>Surface / layer</t>
  </si>
  <si>
    <t>Component</t>
  </si>
  <si>
    <t>Type</t>
  </si>
  <si>
    <t>Purpose</t>
  </si>
  <si>
    <t>Initial behavior / staging</t>
  </si>
  <si>
    <t>Owning task</t>
  </si>
  <si>
    <t>Reused / wired by</t>
  </si>
  <si>
    <t>Shared design</t>
  </si>
  <si>
    <t>DroidMentorScaffold</t>
  </si>
  <si>
    <t>Design primitive</t>
  </si>
  <si>
    <t>Provide consistent page structure, spacing and content slots.</t>
  </si>
  <si>
    <t>Presentation-only; receives screen content/actions and no repositories/providers.</t>
  </si>
  <si>
    <t>All W1 screens</t>
  </si>
  <si>
    <t>AppHeader</t>
  </si>
  <si>
    <t>Reusable page/header treatment for title/back/context actions.</t>
  </si>
  <si>
    <t>Configurable title/navigation callbacks; no NavController inside the composable.</t>
  </si>
  <si>
    <t>Active Chat, History, Settings, About</t>
  </si>
  <si>
    <t>PrimaryActionButton</t>
  </si>
  <si>
    <t>Common primary call-to-action styling and semantics.</t>
  </si>
  <si>
    <t>Simple enabled/disabled callback contract.</t>
  </si>
  <si>
    <t>Title actions, Settings actions, dialogs</t>
  </si>
  <si>
    <t>AsyncSubmitButton</t>
  </si>
  <si>
    <t>Interaction primitive</t>
  </si>
  <si>
    <t>Reusable submit/request action with disabled and loading semantics.</t>
  </si>
  <si>
    <t>Shows progress/blocks duplicate clicks from supplied state; does not perform requests itself.</t>
  </si>
  <si>
    <t>Active Chat Send; Settings Save; future provider actions</t>
  </si>
  <si>
    <t>AppTextField / SecureTextField</t>
  </si>
  <si>
    <t>Common text input styling for normal and secret values.</t>
  </si>
  <si>
    <t>Value/onValueChange only; secure variant supports reveal/hide state from caller.</t>
  </si>
  <si>
    <t>Chat composer support, Settings API key, Search</t>
  </si>
  <si>
    <t>IconActionButton</t>
  </si>
  <si>
    <t>Small semantic action for edit/delete/add/back affordances.</t>
  </si>
  <si>
    <t>Receives icon/content description/enabled/callback; no feature logic.</t>
  </si>
  <si>
    <t>Edit, delete, attachment and navigation actions</t>
  </si>
  <si>
    <t>InlineFeedback</t>
  </si>
  <si>
    <t>Feedback primitive</t>
  </si>
  <si>
    <t>Consistent loading/error/empty feedback without fake provider state.</t>
  </si>
  <si>
    <t>Renders supplied state only; error/retry callback optional.</t>
  </si>
  <si>
    <t>Active Chat, History, Settings</t>
  </si>
  <si>
    <t>Active Chat</t>
  </si>
  <si>
    <t>MessageList</t>
  </si>
  <si>
    <t>Feature composable</t>
  </si>
  <si>
    <t>Render ordered conversation turns and scrolling behavior.</t>
  </si>
  <si>
    <t>Driven entirely by ActiveChatUiState.messages.</t>
  </si>
  <si>
    <t>FLOW-002, GEM-002, DB-003, BR-003</t>
  </si>
  <si>
    <t>MessageBubble</t>
  </si>
  <si>
    <t>Reusable user/model message presentation with eligible edit entry point.</t>
  </si>
  <si>
    <t>No persistence/provider logic; emits EditMessageClicked(messageId).</t>
  </si>
  <si>
    <t>FLOW-002, DB-003, BR-003</t>
  </si>
  <si>
    <t>ChatComposer</t>
  </si>
  <si>
    <t>Own the multiline draft layout and chat-specific send/add controls.</t>
  </si>
  <si>
    <t>Uses shared input/action primitives; emits draft/send/add events.</t>
  </si>
  <si>
    <t>FLOW-002, GEM-002, FILE-002</t>
  </si>
  <si>
    <t>Edit message action</t>
  </si>
  <si>
    <t>Feature action</t>
  </si>
  <si>
    <t>Expose the mandatory rewrite entry point and later branch-edit affordance.</t>
  </si>
  <si>
    <t>Visual/event-only in W1; local rewrite in FLOW-002, persistence in DB-003.</t>
  </si>
  <si>
    <t>FLOW-002, DB-003, BR-002/BR-003</t>
  </si>
  <si>
    <t>Add attachment action</t>
  </si>
  <si>
    <t>Expose image/file intake without implementing storage/provider logic yet.</t>
  </si>
  <si>
    <t>Emits AddAttachmentClicked; real pipeline arrives in FILE tasks.</t>
  </si>
  <si>
    <t>Chat History</t>
  </si>
  <si>
    <t>ConversationList</t>
  </si>
  <si>
    <t>Render the collection of conversation summaries.</t>
  </si>
  <si>
    <t>Fake/local state first; Room-backed later.</t>
  </si>
  <si>
    <t>FLOW-003, DB-002, ORG-001</t>
  </si>
  <si>
    <t>ConversationRow</t>
  </si>
  <si>
    <t>Show title/last activity and open/delete affordances for one conversation.</t>
  </si>
  <si>
    <t>Emits stable ConversationId actions.</t>
  </si>
  <si>
    <t>FLOW-001, FLOW-003, DB-002</t>
  </si>
  <si>
    <t>HistorySearchField</t>
  </si>
  <si>
    <t>Feature extension point</t>
  </si>
  <si>
    <t>Reserve the search/organization area without implementing search semantics yet.</t>
  </si>
  <si>
    <t>Can emit query changes from fake/local state; real behavior in ORG-001.</t>
  </si>
  <si>
    <t>Delete conversation action</t>
  </si>
  <si>
    <t>Expose delete from History using shared icon/action styling.</t>
  </si>
  <si>
    <t>Local lifecycle in FLOW-003; durable transaction in DB-002.</t>
  </si>
  <si>
    <t>FLOW-003, DB-002</t>
  </si>
  <si>
    <t>Home destination actions</t>
  </si>
  <si>
    <t>Screen composition</t>
  </si>
  <si>
    <t>Expose New Chat, History, Settings and About from the entry screen.</t>
  </si>
  <si>
    <t>Events only until FLOW-001 wires destinations.</t>
  </si>
  <si>
    <t>Settings</t>
  </si>
  <si>
    <t>ApiKeyField</t>
  </si>
  <si>
    <t>Accept BYOK secret with mask/reveal behavior.</t>
  </si>
  <si>
    <t>UI state only in W1; persistence in NET-002.</t>
  </si>
  <si>
    <t>Settings action row</t>
  </si>
  <si>
    <t>Save/remove API key using shared action primitives.</t>
  </si>
  <si>
    <t>Emits SaveKey/RemoveKey only.</t>
  </si>
  <si>
    <t>Provider capability section</t>
  </si>
  <si>
    <t>Location for truthful provider-supported reasoning/options.</t>
  </si>
  <si>
    <t>Hidden/disabled until capabilities are known.</t>
  </si>
  <si>
    <t>About</t>
  </si>
  <si>
    <t>Project information section</t>
  </si>
  <si>
    <t>Explain DroidMentor purpose and academic context with atemporal wording.</t>
  </si>
  <si>
    <t>Static durable content.</t>
  </si>
  <si>
    <t>Team information section</t>
  </si>
  <si>
    <t>Show Miguel Alves (MAlves4018) and Martim Gomes (MarsGomes).</t>
  </si>
  <si>
    <t>Student number/email filled when available.</t>
  </si>
  <si>
    <t>Contract ID</t>
  </si>
  <si>
    <t>Contract</t>
  </si>
  <si>
    <t>Rule</t>
  </si>
  <si>
    <t>Implemented first in</t>
  </si>
  <si>
    <t>Primary verification</t>
  </si>
  <si>
    <t>C-01</t>
  </si>
  <si>
    <t>Navigation and screen reachability</t>
  </si>
  <si>
    <t>All five required screens are reachable; new/open chat and back behavior resolve stable conversation identity.</t>
  </si>
  <si>
    <t>Navigation/UI tests</t>
  </si>
  <si>
    <t>C-02</t>
  </si>
  <si>
    <t>Message identity/order/roles</t>
  </si>
  <si>
    <t>Messages have stable local IDs, deterministic order and explicit user/model role independent of UI/provider DTOs.</t>
  </si>
  <si>
    <t>Pure domain tests</t>
  </si>
  <si>
    <t>C-03</t>
  </si>
  <si>
    <t>Active Chat state/actions</t>
  </si>
  <si>
    <t>Composables render immutable state and emit typed actions for draft/send/edit/add/retry; business logic remains outside UI.</t>
  </si>
  <si>
    <t>UI-002, FLOW-002</t>
  </si>
  <si>
    <t>Compose + state transition tests</t>
  </si>
  <si>
    <t>C-04</t>
  </si>
  <si>
    <t>Mandatory edit rewrite</t>
  </si>
  <si>
    <t>Editing an earlier user message preserves valid prefix and removes/replaces invalid suffix; persisted version is atomic.</t>
  </si>
  <si>
    <t>FLOW-002, DB-003</t>
  </si>
  <si>
    <t>Pure + Room transaction tests</t>
  </si>
  <si>
    <t>C-05</t>
  </si>
  <si>
    <t>Stateless Gemini request</t>
  </si>
  <si>
    <t>Every request is rebuilt from selected local history; no remote session identity/state is assumed.</t>
  </si>
  <si>
    <t>Outbound request inspection</t>
  </si>
  <si>
    <t>C-06</t>
  </si>
  <si>
    <t>Full history + system instruction</t>
  </si>
  <si>
    <t>Provider request contains ordered user/model history and required Android mentor system instruction.</t>
  </si>
  <si>
    <t>Fixture/request tests</t>
  </si>
  <si>
    <t>C-07</t>
  </si>
  <si>
    <t>BYOK storage</t>
  </si>
  <si>
    <t>Gemini key lives in DataStore/settings boundary and not in conversation Room rows/logs.</t>
  </si>
  <si>
    <t>Repository/security checks</t>
  </si>
  <si>
    <t>C-08</t>
  </si>
  <si>
    <t>Connectivity and provider failures</t>
  </si>
  <si>
    <t>Clearly offline prevents HTTP; auth/429/5xx/timeout/transport/protocol failures normalize to app errors while cancellation is preserved.</t>
  </si>
  <si>
    <t>NET-001, GEM-002</t>
  </si>
  <si>
    <t>Ktor test-engine/failure tests</t>
  </si>
  <si>
    <t>C-09</t>
  </si>
  <si>
    <t>Room conversation persistence</t>
  </si>
  <si>
    <t>Conversation/message schema, DAOs and repository preserve deterministic order and transactional writes across restart.</t>
  </si>
  <si>
    <t>Room/repository tests</t>
  </si>
  <si>
    <t>C-10</t>
  </si>
  <si>
    <t>Offline/resume/delete lifecycle</t>
  </si>
  <si>
    <t>Stored chats read without network; valid active chat reopens; missing/deleted active state falls back safely; delete affects only target chat.</t>
  </si>
  <si>
    <t>Restart/offline integration tests</t>
  </si>
  <si>
    <t>C-11</t>
  </si>
  <si>
    <t>Branch active path</t>
  </si>
  <si>
    <t>Only selected root-to-head path is rendered/sent; branch switching does not mutate original graph history.</t>
  </si>
  <si>
    <t>BR-001, BR-003</t>
  </si>
  <si>
    <t>Invariant + E2E tests</t>
  </si>
  <si>
    <t>C-12</t>
  </si>
  <si>
    <t>Search organization</t>
  </si>
  <si>
    <t>Search title/message text from selected active path, dedupe by conversation, sort pinned then recent, and preserve rename/pin across restart.</t>
  </si>
  <si>
    <t>UI-003, ORG-001</t>
  </si>
  <si>
    <t>Repository + UI integration tests</t>
  </si>
  <si>
    <t>C-13</t>
  </si>
  <si>
    <t>Reasoning gating</t>
  </si>
  <si>
    <t>Reasoning selector/request control exists only for real provider-supported options; no prompt simulation or hidden-CoT claims.</t>
  </si>
  <si>
    <t>UI-004, RSN-001</t>
  </si>
  <si>
    <t>Capability + request tests</t>
  </si>
  <si>
    <t>C-14</t>
  </si>
  <si>
    <t>Attachment persistence</t>
  </si>
  <si>
    <t>Image bytes live in app-private storage; Room stores metadata/path/URI only; provider encoding is transient.</t>
  </si>
  <si>
    <t>UI-002, FILE-001, FILE-002</t>
  </si>
  <si>
    <t>DB/storage/request inspection</t>
  </si>
  <si>
    <t>C-15</t>
  </si>
  <si>
    <t>Shared Compose primitives</t>
  </si>
  <si>
    <t>Shared headers/buttons/fields/feedback remain presentation-only, use typed state/callbacks and are reused only where they remove real duplication; they never own navigation/provider/database behavior.</t>
  </si>
  <si>
    <t>Compose previews + focused semantic/interaction tests</t>
  </si>
  <si>
    <t>Date</t>
  </si>
  <si>
    <t>Checkpoint</t>
  </si>
  <si>
    <t>Expected evidence / purpose</t>
  </si>
  <si>
    <t>Primary task</t>
  </si>
  <si>
    <t>21/09/2026</t>
  </si>
  <si>
    <t>Formal</t>
  </si>
  <si>
    <t>Repo/tag, plan/timeline/tasks/owners and README team identification.</t>
  </si>
  <si>
    <t>05/10/2026</t>
  </si>
  <si>
    <t>Monitoring 1</t>
  </si>
  <si>
    <t>Monitoring</t>
  </si>
  <si>
    <t>Check W1–W2 progress and adjust execution order, not scope truth.</t>
  </si>
  <si>
    <t>12/10/2026</t>
  </si>
  <si>
    <t>5–7 min video, decisions/verification, README link and tag.</t>
  </si>
  <si>
    <t>09/11/2026</t>
  </si>
  <si>
    <t>Monitoring 2</t>
  </si>
  <si>
    <t>Check mandatory integration risks before mentor_3.</t>
  </si>
  <si>
    <t>16/11/2026</t>
  </si>
  <si>
    <t>Integrated mandatory product, 5–7 min video, README link and tag.</t>
  </si>
  <si>
    <t>27/11/2026</t>
  </si>
  <si>
    <t>Optional checkpoint</t>
  </si>
  <si>
    <t>Internal</t>
  </si>
  <si>
    <t>Reassess Branching/Search/Reasoning against mandatory regression and remaining time.</t>
  </si>
  <si>
    <t>ORG-001 / RSN-001</t>
  </si>
  <si>
    <t>07/12/2026</t>
  </si>
  <si>
    <t>Monitoring 3 + scope freeze</t>
  </si>
  <si>
    <t>No new feature scope after this point; only release fixes/tests/docs/demo work.</t>
  </si>
  <si>
    <t>12/12/2026</t>
  </si>
  <si>
    <t>Stable integrated app, final 5–7 min video, README link and final tag.</t>
  </si>
  <si>
    <t>ID</t>
  </si>
  <si>
    <t>Feature</t>
  </si>
  <si>
    <t>Promotion gate</t>
  </si>
  <si>
    <t>Implementation note</t>
  </si>
  <si>
    <t>Schedule</t>
  </si>
  <si>
    <t>OPT-001</t>
  </si>
  <si>
    <t>Projects / Workspaces</t>
  </si>
  <si>
    <t>Stretch</t>
  </si>
  <si>
    <t>Local grouping of conversations by project; project delete detaches conversations instead of deleting them.</t>
  </si>
  <si>
    <t>No calendar until explicitly promoted.</t>
  </si>
  <si>
    <t>Would need model/repository/UI + tests; must not affect Gemini context.</t>
  </si>
  <si>
    <t>Not scheduled</t>
  </si>
  <si>
    <t>P2</t>
  </si>
  <si>
    <t>OPT-002</t>
  </si>
  <si>
    <t>Rich Provider Status UX</t>
  </si>
  <si>
    <t>More detailed provider/resource status beyond truthful error/retry feedback.</t>
  </si>
  <si>
    <t>Only real provider data may be shown; no fake quota counters.</t>
  </si>
  <si>
    <t>OPT-003</t>
  </si>
  <si>
    <t>Generic non-image files</t>
  </si>
  <si>
    <t>Broaden attachment pipeline beyond image-first support.</t>
  </si>
  <si>
    <t>Only after FILE-002 is green and scope permits.</t>
  </si>
  <si>
    <t>Reuse attachment/storage contracts; validate provider support before UI exposure.</t>
  </si>
  <si>
    <t>OPT-004</t>
  </si>
  <si>
    <t>Mobile Companion</t>
  </si>
  <si>
    <t>Discovery</t>
  </si>
  <si>
    <t>PC/companion integration, file access/MCP and multi-link concepts.</t>
  </si>
  <si>
    <t>Discovery only unless a separate GO decision is made.</t>
  </si>
  <si>
    <t>No implementation during mandatory path.</t>
  </si>
  <si>
    <t>Planning rule</t>
  </si>
  <si>
    <t>R-01</t>
  </si>
  <si>
    <t>Task = outcome unit</t>
  </si>
  <si>
    <t>A task should be a real result that makes sense to implement, review and test as one unit. Do not create issues for every button, composable, DAO method, invariant or command.</t>
  </si>
  <si>
    <t>R-02</t>
  </si>
  <si>
    <t>Micro-actions live inside the task</t>
  </si>
  <si>
    <t>Small implementation steps belong in the description/components/tests/checklist of the larger task unless they become an independently valuable reusable result.</t>
  </si>
  <si>
    <t>R-03</t>
  </si>
  <si>
    <t>Descriptions start solving the work</t>
  </si>
  <si>
    <t>Each task should state probable components, package/path, contracts, inputs/outputs, expected behavior, tests and Done criteria when these can be inferred.</t>
  </si>
  <si>
    <t>R-04</t>
  </si>
  <si>
    <t>UI anticipates later functionality</t>
  </si>
  <si>
    <t>Create important controls/extension points early as visual elements and typed actions, even when the real route/provider/database behavior is connected later.</t>
  </si>
  <si>
    <t>R-05</t>
  </si>
  <si>
    <t>No artificial ownership splitting</t>
  </si>
  <si>
    <t>Give a simple task one owner. Split work only when there are genuinely independent fronts or parallelism improves delivery.</t>
  </si>
  <si>
    <t>R-06</t>
  </si>
  <si>
    <t>Bundles own calendar dates</t>
  </si>
  <si>
    <t>Only semester bundles/formal deliverables carry Start/End dates. Tasks use bundle order, dependencies and priority instead of fake per-task windows.</t>
  </si>
  <si>
    <t>R-07</t>
  </si>
  <si>
    <t>Priority replaces calendar commitment</t>
  </si>
  <si>
    <t>Use P0/P1/P2 to express execution importance; avoid duplicate commitment fields such as MUST/Calendar Commitment.</t>
  </si>
  <si>
    <t>R-08</t>
  </si>
  <si>
    <t>Difficulty, not time estimates</t>
  </si>
  <si>
    <t>Difficulty 1–5 expresses relative complexity/risk. Do not pretend precise active-time estimates for semester tasks.</t>
  </si>
  <si>
    <t>R-09</t>
  </si>
  <si>
    <t>Full names in planning</t>
  </si>
  <si>
    <t>Use Miguel Alves and Martim Gomes in user-facing planning. GitHub handles are identity metadata, not role abbreviations MA/MG.</t>
  </si>
  <si>
    <t>R-10</t>
  </si>
  <si>
    <t>README is atemporal</t>
  </si>
  <si>
    <t>README describes durable product/team/build/run information and stable evidence links; no intermediate handovers, temporary planning versions or adversarial review references.</t>
  </si>
  <si>
    <t>R-11</t>
  </si>
  <si>
    <t>Tests prove behavior</t>
  </si>
  <si>
    <t>Do not write 'add tests'. State exactly which behavior/invariant/failure/restart/request payload the test must prove.</t>
  </si>
  <si>
    <t>R-12</t>
  </si>
  <si>
    <t>Mandatory remains independent</t>
  </si>
  <si>
    <t>Optional features may enrich the product but cannot become dependencies of the mandatory acceptance path.</t>
  </si>
  <si>
    <t>R-13</t>
  </si>
  <si>
    <t>Single app module by default</t>
  </si>
  <si>
    <t>Keep architecture readable through packages/interfaces inside :app; add modules/frameworks only when a demonstrated problem justifies them.</t>
  </si>
  <si>
    <t>R-14</t>
  </si>
  <si>
    <t>Standard Android source set</t>
  </si>
  <si>
    <t>Kotlin files under app/src/main/java are normal; the directory name does not mean the codebase is Java.</t>
  </si>
  <si>
    <t>R-15</t>
  </si>
  <si>
    <t>Shared UI before duplication</t>
  </si>
  <si>
    <t>Define genuinely reused Compose design/interaction primitives once before screen-specific work. Screen tasks own feature composables; do not make Active Chat the accidental owner of common headers/buttons/loading/error patterns.</t>
  </si>
  <si>
    <t>R-16</t>
  </si>
  <si>
    <t>Ownership continuity is soft</t>
  </si>
  <si>
    <t>Prior ownership of a screen is context, not a hard rule for later functionality. Assign follow-up work to the person with the most natural dependency/context and available load; both developers are expected to touch shared composables and feature code.</t>
  </si>
  <si>
    <t>R-17</t>
  </si>
  <si>
    <t>Balance real outcomes, not microtasks</t>
  </si>
  <si>
    <t>Keep the semester allocation broadly equal by moving whole coherent tasks between Miguel Alves and Martim Gomes. Never split a simple result into artificial subtasks just to make counts equal.</t>
  </si>
  <si>
    <t>R-18</t>
  </si>
  <si>
    <t>Difficulty is calibrated by integration/risk</t>
  </si>
  <si>
    <t>Use 1–5 consistently: 1 isolated/trivial; 2 small bounded result; 3 moderate multi-component work in established patterns; 4 complex state or cross-layer integration; 5 high-risk architecture/provider/persistence/migration or broad end-to-end 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</si>
</sst>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4">
    <font>
      <sz val="11"/>
      <name val="Carlito"/>
    </font>
    <font>
      <b/>
      <sz val="16"/>
      <color rgb="FFFFFFFF"/>
      <name val="Carlito"/>
    </font>
    <font>
      <i/>
      <sz val="11"/>
      <color rgb="FF345B72"/>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EAF2F8"/>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3" fillId="4" borderId="0" xfId="0" applyFont="1" applyFill="1" applyAlignment="1">
      <alignment horizontal="center" vertical="top" wrapText="1"/>
    </xf>
    <xf numFmtId="164" fontId="0" fillId="0" borderId="0" xfId="0" applyNumberFormat="1" applyAlignment="1">
      <alignment vertical="top" wrapText="1"/>
    </xf>
    <xf numFmtId="165" fontId="0" fillId="0" borderId="0" xfId="0" applyNumberFormat="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4"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10">
    <dxf>
      <font>
        <b/>
        <color rgb="FF9C0006"/>
      </font>
      <fill>
        <patternFill>
          <bgColor rgb="FFF4CCCC"/>
        </patternFill>
      </fill>
    </dxf>
    <dxf>
      <font>
        <b/>
        <color rgb="FF274E13"/>
      </font>
      <fill>
        <patternFill>
          <bgColor rgb="FFD9EAD3"/>
        </patternFill>
      </fill>
    </dxf>
    <dxf>
      <font>
        <color rgb="FF274E13"/>
      </font>
      <fill>
        <patternFill>
          <bgColor rgb="FFD9EAD3"/>
        </patternFill>
      </fill>
    </dxf>
    <dxf>
      <font>
        <b/>
        <color rgb="FF9C0006"/>
      </font>
      <fill>
        <patternFill>
          <bgColor rgb="FFF4CCCC"/>
        </patternFill>
      </fill>
    </dxf>
    <dxf>
      <font>
        <b/>
      </font>
      <fill>
        <patternFill>
          <bgColor rgb="FFD9EAD3"/>
        </patternFill>
      </fill>
    </dxf>
    <dxf>
      <font>
        <color rgb="FF7F6000"/>
      </font>
      <fill>
        <patternFill>
          <bgColor rgb="FFFFF2CC"/>
        </patternFill>
      </fill>
    </dxf>
    <dxf>
      <font>
        <b/>
        <color rgb="FF9C0006"/>
      </font>
      <fill>
        <patternFill>
          <bgColor rgb="FFF4CCCC"/>
        </patternFill>
      </fill>
    </dxf>
    <dxf>
      <fill>
        <patternFill>
          <bgColor rgb="FFFFF2CC"/>
        </patternFill>
      </fill>
    </dxf>
    <dxf>
      <fill>
        <patternFill>
          <bgColor rgb="FFEADCF8"/>
        </patternFill>
      </fill>
    </dxf>
    <dxf>
      <font>
        <b/>
      </font>
      <fill>
        <patternFill>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ndlesTable" displayName="BundlesTable" ref="A1:P14" totalsRowShown="0">
  <tableColumns count="16">
    <tableColumn id="1" xr3:uid="{00000000-0010-0000-0000-000001000000}" name="Bundle ID"/>
    <tableColumn id="2" xr3:uid="{00000000-0010-0000-0000-000002000000}" name="Week"/>
    <tableColumn id="3" xr3:uid="{00000000-0010-0000-0000-000003000000}" name="Bundle name"/>
    <tableColumn id="4" xr3:uid="{00000000-0010-0000-0000-000004000000}" name="Objective"/>
    <tableColumn id="5" xr3:uid="{00000000-0010-0000-0000-000005000000}" name="Start"/>
    <tableColumn id="6" xr3:uid="{00000000-0010-0000-0000-000006000000}" name="End"/>
    <tableColumn id="7" xr3:uid="{00000000-0010-0000-0000-000007000000}" name="Deliverable"/>
    <tableColumn id="8" xr3:uid="{00000000-0010-0000-0000-000008000000}" name="Scope"/>
    <tableColumn id="9" xr3:uid="{00000000-0010-0000-0000-000009000000}" name="Priority"/>
    <tableColumn id="10" xr3:uid="{00000000-0010-0000-0000-00000A000000}" name="Lead"/>
    <tableColumn id="11" xr3:uid="{00000000-0010-0000-0000-00000B000000}" name="Support"/>
    <tableColumn id="12" xr3:uid="{00000000-0010-0000-0000-00000C000000}" name="Entry criteria"/>
    <tableColumn id="13" xr3:uid="{00000000-0010-0000-0000-00000D000000}" name="Exit criteria"/>
    <tableColumn id="14" xr3:uid="{00000000-0010-0000-0000-00000E000000}" name="Checkpoint / video"/>
    <tableColumn id="15" xr3:uid="{00000000-0010-0000-0000-00000F000000}" name="Status"/>
    <tableColumn id="16" xr3:uid="{00000000-0010-0000-0000-000010000000}" name="Task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sksTable" displayName="TasksTable" ref="A1:R32" totalsRowShown="0">
  <tableColumns count="18">
    <tableColumn id="1" xr3:uid="{00000000-0010-0000-0100-000001000000}" name="Task ID"/>
    <tableColumn id="2" xr3:uid="{00000000-0010-0000-0100-000002000000}" name="Bundle"/>
    <tableColumn id="3" xr3:uid="{00000000-0010-0000-0100-000003000000}" name="Order"/>
    <tableColumn id="4" xr3:uid="{00000000-0010-0000-0100-000004000000}" name="Title"/>
    <tableColumn id="5" xr3:uid="{00000000-0010-0000-0100-000005000000}" name="Outcome &amp; implementation guidance"/>
    <tableColumn id="6" xr3:uid="{00000000-0010-0000-0100-000006000000}" name="Scope"/>
    <tableColumn id="7" xr3:uid="{00000000-0010-0000-0100-000007000000}" name="Priority"/>
    <tableColumn id="8" xr3:uid="{00000000-0010-0000-0100-000008000000}" name="Difficulty"/>
    <tableColumn id="9" xr3:uid="{00000000-0010-0000-0100-000009000000}" name="Owner"/>
    <tableColumn id="10" xr3:uid="{00000000-0010-0000-0100-00000A000000}" name="Reviewer"/>
    <tableColumn id="11" xr3:uid="{00000000-0010-0000-0100-00000B000000}" name="Depends on"/>
    <tableColumn id="12" xr3:uid="{00000000-0010-0000-0100-00000C000000}" name="Likely package / path"/>
    <tableColumn id="13" xr3:uid="{00000000-0010-0000-0100-00000D000000}" name="Components / interfaces"/>
    <tableColumn id="14" xr3:uid="{00000000-0010-0000-0100-00000E000000}" name="Inputs → outputs"/>
    <tableColumn id="15" xr3:uid="{00000000-0010-0000-0100-00000F000000}" name="Tests / verification"/>
    <tableColumn id="16" xr3:uid="{00000000-0010-0000-0100-000010000000}" name="Done when"/>
    <tableColumn id="17" xr3:uid="{00000000-0010-0000-0100-000011000000}" name="Requirements"/>
    <tableColumn id="18" xr3:uid="{00000000-0010-0000-0100-000012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liverablesTable" displayName="DeliverablesTable" ref="A1:J5" totalsRowShown="0">
  <tableColumns count="10">
    <tableColumn id="1" xr3:uid="{00000000-0010-0000-0200-000001000000}" name="Deliverable ID"/>
    <tableColumn id="2" xr3:uid="{00000000-0010-0000-0200-000002000000}" name="Milestone"/>
    <tableColumn id="3" xr3:uid="{00000000-0010-0000-0200-000003000000}" name="Class"/>
    <tableColumn id="4" xr3:uid="{00000000-0010-0000-0200-000004000000}" name="Outcome"/>
    <tableColumn id="5" xr3:uid="{00000000-0010-0000-0200-000005000000}" name="Start"/>
    <tableColumn id="6" xr3:uid="{00000000-0010-0000-0200-000006000000}" name="End"/>
    <tableColumn id="7" xr3:uid="{00000000-0010-0000-0200-000007000000}" name="Scope"/>
    <tableColumn id="8" xr3:uid="{00000000-0010-0000-0200-000008000000}" name="Key tasks"/>
    <tableColumn id="9" xr3:uid="{00000000-0010-0000-0200-000009000000}" name="Evidence"/>
    <tableColumn id="10" xr3:uid="{00000000-0010-0000-0200-00000A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quirementsTable" displayName="RequirementsTable" ref="A1:E26" totalsRowShown="0">
  <tableColumns count="5">
    <tableColumn id="1" xr3:uid="{00000000-0010-0000-0300-000001000000}" name="Requirement"/>
    <tableColumn id="2" xr3:uid="{00000000-0010-0000-0300-000002000000}" name="Description"/>
    <tableColumn id="3" xr3:uid="{00000000-0010-0000-0300-000003000000}" name="Assignment status"/>
    <tableColumn id="4" xr3:uid="{00000000-0010-0000-0300-000004000000}" name="Covering tasks"/>
    <tableColumn id="5" xr3:uid="{00000000-0010-0000-0300-000005000000}" name="Cover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UIComponentsTable" displayName="UIComponentsTable" ref="A1:E19" totalsRowShown="0">
  <tableColumns count="5">
    <tableColumn id="1" xr3:uid="{00000000-0010-0000-0400-000001000000}" name="Screen"/>
    <tableColumn id="2" xr3:uid="{00000000-0010-0000-0400-000002000000}" name="Component"/>
    <tableColumn id="3" xr3:uid="{00000000-0010-0000-0400-000003000000}" name="Purpose"/>
    <tableColumn id="4" xr3:uid="{00000000-0010-0000-0400-000004000000}" name="Initial behavior / staging"/>
    <tableColumn id="5" xr3:uid="{00000000-0010-0000-0400-000005000000}" name="Owning tas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ntractsTable" displayName="ContractsTable" ref="A1:E15" totalsRowShown="0">
  <tableColumns count="5">
    <tableColumn id="1" xr3:uid="{00000000-0010-0000-0500-000001000000}" name="Contract ID"/>
    <tableColumn id="2" xr3:uid="{00000000-0010-0000-0500-000002000000}" name="Contract"/>
    <tableColumn id="3" xr3:uid="{00000000-0010-0000-0500-000003000000}" name="Rule"/>
    <tableColumn id="4" xr3:uid="{00000000-0010-0000-0500-000004000000}" name="Implemented first in"/>
    <tableColumn id="5" xr3:uid="{00000000-0010-0000-0500-000005000000}" name="Primary verific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ilestonesTable" displayName="MilestonesTable" ref="A1:E9" totalsRowShown="0">
  <tableColumns count="5">
    <tableColumn id="1" xr3:uid="{00000000-0010-0000-0600-000001000000}" name="Date"/>
    <tableColumn id="2" xr3:uid="{00000000-0010-0000-0600-000002000000}" name="Checkpoint"/>
    <tableColumn id="3" xr3:uid="{00000000-0010-0000-0600-000003000000}" name="Type"/>
    <tableColumn id="4" xr3:uid="{00000000-0010-0000-0600-000004000000}" name="Expected evidence / purpose"/>
    <tableColumn id="5" xr3:uid="{00000000-0010-0000-0600-000005000000}" name="Primary tas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OptionalBacklogTable" displayName="OptionalBacklogTable" ref="A1:I5" totalsRowShown="0">
  <tableColumns count="9">
    <tableColumn id="1" xr3:uid="{00000000-0010-0000-0700-000001000000}" name="ID"/>
    <tableColumn id="2" xr3:uid="{00000000-0010-0000-0700-000002000000}" name="Feature"/>
    <tableColumn id="3" xr3:uid="{00000000-0010-0000-0700-000003000000}" name="Scope"/>
    <tableColumn id="4" xr3:uid="{00000000-0010-0000-0700-000004000000}" name="Purpose"/>
    <tableColumn id="5" xr3:uid="{00000000-0010-0000-0700-000005000000}" name="Promotion gate"/>
    <tableColumn id="6" xr3:uid="{00000000-0010-0000-0700-000006000000}" name="Implementation note"/>
    <tableColumn id="7" xr3:uid="{00000000-0010-0000-0700-000007000000}" name="Schedule"/>
    <tableColumn id="8" xr3:uid="{00000000-0010-0000-0700-000008000000}" name="Priority"/>
    <tableColumn id="9" xr3:uid="{00000000-0010-0000-0700-000009000000}" name="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lanningRulesTable" displayName="PlanningRulesTable" ref="A1:C15" totalsRowShown="0">
  <tableColumns count="3">
    <tableColumn id="1" xr3:uid="{00000000-0010-0000-0800-000001000000}" name="Rule"/>
    <tableColumn id="2" xr3:uid="{00000000-0010-0000-0800-000002000000}" name="Name"/>
    <tableColumn id="3" xr3:uid="{00000000-0010-0000-0800-000003000000}" name="Planning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0"/>
  <sheetViews>
    <sheetView topLeftCell="A22" workbookViewId="0">
      <selection sqref="A1:H1"/>
    </sheetView>
  </sheetViews>
  <sheetFormatPr defaultRowHeight="14.25"/>
  <cols>
    <col min="1" max="1" width="18" customWidth="1"/>
    <col min="2" max="2" width="24" customWidth="1"/>
    <col min="3" max="3" width="12" customWidth="1"/>
    <col min="4" max="4" width="20" customWidth="1"/>
    <col min="5" max="5" width="18" customWidth="1"/>
    <col min="6" max="6" width="4" customWidth="1"/>
    <col min="7" max="7" width="20" customWidth="1"/>
    <col min="8" max="8" width="10" customWidth="1"/>
    <col min="9" max="9" width="18" customWidth="1"/>
  </cols>
  <sheetData>
    <row r="1" spans="1:26" ht="27.95" customHeight="1">
      <c r="A1" s="5" t="s">
        <v>0</v>
      </c>
      <c r="B1" s="5"/>
      <c r="C1" s="5"/>
      <c r="D1" s="5"/>
      <c r="E1" s="5"/>
      <c r="F1" s="5"/>
      <c r="G1" s="5"/>
      <c r="H1" s="5"/>
      <c r="I1" s="1"/>
      <c r="J1" s="1"/>
      <c r="K1" s="1"/>
      <c r="L1" s="1"/>
      <c r="M1" s="1"/>
      <c r="N1" s="1"/>
      <c r="O1" s="1"/>
      <c r="P1" s="1"/>
      <c r="Q1" s="1"/>
      <c r="R1" s="1"/>
      <c r="S1" s="1"/>
      <c r="T1" s="1"/>
      <c r="U1" s="1"/>
      <c r="V1" s="1"/>
      <c r="W1" s="1"/>
      <c r="X1" s="1"/>
      <c r="Y1" s="1"/>
      <c r="Z1" s="1"/>
    </row>
    <row r="2" spans="1:26" ht="36" customHeight="1">
      <c r="A2" s="6" t="s">
        <v>1</v>
      </c>
      <c r="B2" s="6"/>
      <c r="C2" s="6"/>
      <c r="D2" s="6"/>
      <c r="E2" s="6"/>
      <c r="F2" s="6"/>
      <c r="G2" s="6"/>
      <c r="H2" s="6"/>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5">
      <c r="A4" s="2" t="s">
        <v>2</v>
      </c>
      <c r="B4" s="2" t="s">
        <v>3</v>
      </c>
      <c r="C4" s="1"/>
      <c r="D4" s="2" t="s">
        <v>4</v>
      </c>
      <c r="E4" s="2" t="s">
        <v>5</v>
      </c>
      <c r="F4" s="1"/>
      <c r="G4" s="2" t="s">
        <v>6</v>
      </c>
      <c r="H4" s="2" t="s">
        <v>7</v>
      </c>
      <c r="I4" s="1" t="s">
        <v>8</v>
      </c>
      <c r="J4" s="1"/>
      <c r="K4" s="1"/>
      <c r="L4" s="1"/>
      <c r="M4" s="1"/>
      <c r="N4" s="1"/>
      <c r="O4" s="1"/>
      <c r="P4" s="1"/>
      <c r="Q4" s="1"/>
      <c r="R4" s="1"/>
      <c r="S4" s="1"/>
      <c r="T4" s="1"/>
      <c r="U4" s="1"/>
      <c r="V4" s="1"/>
      <c r="W4" s="1"/>
      <c r="X4" s="1"/>
      <c r="Y4" s="1"/>
      <c r="Z4" s="1"/>
    </row>
    <row r="5" spans="1:26">
      <c r="A5" s="1" t="s">
        <v>9</v>
      </c>
      <c r="B5" s="1">
        <f>COUNTA(Deliverables!A2:A50)</f>
        <v>4</v>
      </c>
      <c r="C5" s="1"/>
      <c r="D5" s="1" t="s">
        <v>10</v>
      </c>
      <c r="E5" s="1">
        <v>25</v>
      </c>
      <c r="F5" s="1"/>
      <c r="G5" s="1" t="s">
        <v>11</v>
      </c>
      <c r="H5" s="1">
        <v>16</v>
      </c>
      <c r="I5" s="1">
        <v>62</v>
      </c>
      <c r="J5" s="1"/>
      <c r="K5" s="1"/>
      <c r="L5" s="1"/>
      <c r="M5" s="1"/>
      <c r="N5" s="1"/>
      <c r="O5" s="1"/>
      <c r="P5" s="1"/>
      <c r="Q5" s="1"/>
      <c r="R5" s="1"/>
      <c r="S5" s="1"/>
      <c r="T5" s="1"/>
      <c r="U5" s="1"/>
      <c r="V5" s="1"/>
      <c r="W5" s="1"/>
      <c r="X5" s="1"/>
      <c r="Y5" s="1"/>
      <c r="Z5" s="1"/>
    </row>
    <row r="6" spans="1:26">
      <c r="A6" s="1" t="s">
        <v>12</v>
      </c>
      <c r="B6" s="1">
        <f>COUNTA('Semester Bundles'!A2:A50)</f>
        <v>13</v>
      </c>
      <c r="C6" s="1"/>
      <c r="D6" s="1" t="s">
        <v>13</v>
      </c>
      <c r="E6" s="1">
        <v>3</v>
      </c>
      <c r="F6" s="1"/>
      <c r="G6" s="1" t="s">
        <v>14</v>
      </c>
      <c r="H6" s="1">
        <v>16</v>
      </c>
      <c r="I6" s="1">
        <v>62</v>
      </c>
      <c r="J6" s="1"/>
      <c r="K6" s="1"/>
      <c r="L6" s="1"/>
      <c r="M6" s="1"/>
      <c r="N6" s="1"/>
      <c r="O6" s="1"/>
      <c r="P6" s="1"/>
      <c r="Q6" s="1"/>
      <c r="R6" s="1"/>
      <c r="S6" s="1"/>
      <c r="T6" s="1"/>
      <c r="U6" s="1"/>
      <c r="V6" s="1"/>
      <c r="W6" s="1"/>
      <c r="X6" s="1"/>
      <c r="Y6" s="1"/>
      <c r="Z6" s="1"/>
    </row>
    <row r="7" spans="1:26">
      <c r="A7" s="1" t="s">
        <v>15</v>
      </c>
      <c r="B7" s="1">
        <v>32</v>
      </c>
      <c r="C7" s="1"/>
      <c r="D7" s="1" t="s">
        <v>16</v>
      </c>
      <c r="E7" s="1">
        <v>4</v>
      </c>
      <c r="F7" s="1"/>
      <c r="G7" s="1"/>
      <c r="H7" s="1"/>
      <c r="I7" s="1"/>
      <c r="J7" s="1"/>
      <c r="K7" s="1"/>
      <c r="L7" s="1"/>
      <c r="M7" s="1"/>
      <c r="N7" s="1"/>
      <c r="O7" s="1"/>
      <c r="P7" s="1"/>
      <c r="Q7" s="1"/>
      <c r="R7" s="1"/>
      <c r="S7" s="1"/>
      <c r="T7" s="1"/>
      <c r="U7" s="1"/>
      <c r="V7" s="1"/>
      <c r="W7" s="1"/>
      <c r="X7" s="1"/>
      <c r="Y7" s="1"/>
      <c r="Z7" s="1"/>
    </row>
    <row r="8" spans="1:26" ht="28.5">
      <c r="A8" s="1" t="s">
        <v>17</v>
      </c>
      <c r="B8" s="1">
        <f>COUNTIF('Requirement Coverage'!E2:E100,"Covered")</f>
        <v>25</v>
      </c>
      <c r="C8" s="1"/>
      <c r="D8" s="1"/>
      <c r="E8" s="1"/>
      <c r="F8" s="1"/>
      <c r="G8" s="1"/>
      <c r="H8" s="1"/>
      <c r="I8" s="1"/>
      <c r="J8" s="1"/>
      <c r="K8" s="1"/>
      <c r="L8" s="1"/>
      <c r="M8" s="1"/>
      <c r="N8" s="1"/>
      <c r="O8" s="1"/>
      <c r="P8" s="1"/>
      <c r="Q8" s="1"/>
      <c r="R8" s="1"/>
      <c r="S8" s="1"/>
      <c r="T8" s="1"/>
      <c r="U8" s="1"/>
      <c r="V8" s="1"/>
      <c r="W8" s="1"/>
      <c r="X8" s="1"/>
      <c r="Y8" s="1"/>
      <c r="Z8" s="1"/>
    </row>
    <row r="9" spans="1:26" ht="28.5">
      <c r="A9" s="1" t="s">
        <v>18</v>
      </c>
      <c r="B9" s="1">
        <f>COUNTA('Optional Backlog'!A2:A50)</f>
        <v>4</v>
      </c>
      <c r="C9" s="1"/>
      <c r="D9" s="1"/>
      <c r="E9" s="1"/>
      <c r="F9" s="1"/>
      <c r="G9" s="1"/>
      <c r="H9" s="1"/>
      <c r="I9" s="1"/>
      <c r="J9" s="1"/>
      <c r="K9" s="1"/>
      <c r="L9" s="1"/>
      <c r="M9" s="1"/>
      <c r="N9" s="1"/>
      <c r="O9" s="1"/>
      <c r="P9" s="1"/>
      <c r="Q9" s="1"/>
      <c r="R9" s="1"/>
      <c r="S9" s="1"/>
      <c r="T9" s="1"/>
      <c r="U9" s="1"/>
      <c r="V9" s="1"/>
      <c r="W9" s="1"/>
      <c r="X9" s="1"/>
      <c r="Y9" s="1"/>
      <c r="Z9" s="1"/>
    </row>
    <row r="10" spans="1:26">
      <c r="A10" s="1" t="s">
        <v>19</v>
      </c>
      <c r="B10" s="3">
        <v>3.875</v>
      </c>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 r="A12" s="2" t="s">
        <v>20</v>
      </c>
      <c r="B12" s="2" t="s">
        <v>21</v>
      </c>
      <c r="C12" s="2" t="s">
        <v>5</v>
      </c>
      <c r="D12" s="1"/>
      <c r="E12" s="7" t="s">
        <v>22</v>
      </c>
      <c r="F12" s="7"/>
      <c r="G12" s="7"/>
      <c r="H12" s="7"/>
      <c r="I12" s="1"/>
      <c r="J12" s="1"/>
      <c r="K12" s="1"/>
      <c r="L12" s="1"/>
      <c r="M12" s="1"/>
      <c r="N12" s="1"/>
      <c r="O12" s="1"/>
      <c r="P12" s="1"/>
      <c r="Q12" s="1"/>
      <c r="R12" s="1"/>
      <c r="S12" s="1"/>
      <c r="T12" s="1"/>
      <c r="U12" s="1"/>
      <c r="V12" s="1"/>
      <c r="W12" s="1"/>
      <c r="X12" s="1"/>
      <c r="Y12" s="1"/>
      <c r="Z12" s="1"/>
    </row>
    <row r="13" spans="1:26" ht="30" customHeight="1">
      <c r="A13" s="1" t="s">
        <v>23</v>
      </c>
      <c r="B13" s="1" t="s">
        <v>24</v>
      </c>
      <c r="C13" s="1">
        <f>COUNTIF(Tasks!B:B,A13)</f>
        <v>3</v>
      </c>
      <c r="D13" s="1"/>
      <c r="E13" s="8" t="s">
        <v>25</v>
      </c>
      <c r="F13" s="8"/>
      <c r="G13" s="8"/>
      <c r="H13" s="8"/>
      <c r="I13" s="1"/>
      <c r="J13" s="1"/>
      <c r="K13" s="1"/>
      <c r="L13" s="1"/>
      <c r="M13" s="1"/>
      <c r="N13" s="1"/>
      <c r="O13" s="1"/>
      <c r="P13" s="1"/>
      <c r="Q13" s="1"/>
      <c r="R13" s="1"/>
      <c r="S13" s="1"/>
      <c r="T13" s="1"/>
      <c r="U13" s="1"/>
      <c r="V13" s="1"/>
      <c r="W13" s="1"/>
      <c r="X13" s="1"/>
      <c r="Y13" s="1"/>
      <c r="Z13" s="1"/>
    </row>
    <row r="14" spans="1:26" ht="30" customHeight="1">
      <c r="A14" s="1" t="s">
        <v>26</v>
      </c>
      <c r="B14" s="1" t="s">
        <v>27</v>
      </c>
      <c r="C14" s="1">
        <v>4</v>
      </c>
      <c r="D14" s="1"/>
      <c r="E14" s="8" t="s">
        <v>28</v>
      </c>
      <c r="F14" s="8"/>
      <c r="G14" s="8"/>
      <c r="H14" s="8"/>
      <c r="I14" s="1"/>
      <c r="J14" s="1"/>
      <c r="K14" s="1"/>
      <c r="L14" s="1"/>
      <c r="M14" s="1"/>
      <c r="N14" s="1"/>
      <c r="O14" s="1"/>
      <c r="P14" s="1"/>
      <c r="Q14" s="1"/>
      <c r="R14" s="1"/>
      <c r="S14" s="1"/>
      <c r="T14" s="1"/>
      <c r="U14" s="1"/>
      <c r="V14" s="1"/>
      <c r="W14" s="1"/>
      <c r="X14" s="1"/>
      <c r="Y14" s="1"/>
      <c r="Z14" s="1"/>
    </row>
    <row r="15" spans="1:26" ht="30" customHeight="1">
      <c r="A15" s="1" t="s">
        <v>29</v>
      </c>
      <c r="B15" s="1" t="s">
        <v>30</v>
      </c>
      <c r="C15" s="1">
        <f>COUNTIF(Tasks!B:B,A15)</f>
        <v>3</v>
      </c>
      <c r="D15" s="1"/>
      <c r="E15" s="8" t="s">
        <v>31</v>
      </c>
      <c r="F15" s="8"/>
      <c r="G15" s="8"/>
      <c r="H15" s="8"/>
      <c r="I15" s="1"/>
      <c r="J15" s="1"/>
      <c r="K15" s="1"/>
      <c r="L15" s="1"/>
      <c r="M15" s="1"/>
      <c r="N15" s="1"/>
      <c r="O15" s="1"/>
      <c r="P15" s="1"/>
      <c r="Q15" s="1"/>
      <c r="R15" s="1"/>
      <c r="S15" s="1"/>
      <c r="T15" s="1"/>
      <c r="U15" s="1"/>
      <c r="V15" s="1"/>
      <c r="W15" s="1"/>
      <c r="X15" s="1"/>
      <c r="Y15" s="1"/>
      <c r="Z15" s="1"/>
    </row>
    <row r="16" spans="1:26" ht="30" customHeight="1">
      <c r="A16" s="1" t="s">
        <v>32</v>
      </c>
      <c r="B16" s="1" t="s">
        <v>33</v>
      </c>
      <c r="C16" s="1">
        <f>COUNTIF(Tasks!B:B,A16)</f>
        <v>2</v>
      </c>
      <c r="D16" s="1"/>
      <c r="E16" s="8" t="s">
        <v>34</v>
      </c>
      <c r="F16" s="8"/>
      <c r="G16" s="8"/>
      <c r="H16" s="8"/>
      <c r="I16" s="1"/>
      <c r="J16" s="1"/>
      <c r="K16" s="1"/>
      <c r="L16" s="1"/>
      <c r="M16" s="1"/>
      <c r="N16" s="1"/>
      <c r="O16" s="1"/>
      <c r="P16" s="1"/>
      <c r="Q16" s="1"/>
      <c r="R16" s="1"/>
      <c r="S16" s="1"/>
      <c r="T16" s="1"/>
      <c r="U16" s="1"/>
      <c r="V16" s="1"/>
      <c r="W16" s="1"/>
      <c r="X16" s="1"/>
      <c r="Y16" s="1"/>
      <c r="Z16" s="1"/>
    </row>
    <row r="17" spans="1:26" ht="30" customHeight="1">
      <c r="A17" s="1" t="s">
        <v>35</v>
      </c>
      <c r="B17" s="1" t="s">
        <v>36</v>
      </c>
      <c r="C17" s="1">
        <f>COUNTIF(Tasks!B:B,A17)</f>
        <v>2</v>
      </c>
      <c r="D17" s="1"/>
      <c r="E17" s="8" t="s">
        <v>37</v>
      </c>
      <c r="F17" s="8"/>
      <c r="G17" s="8"/>
      <c r="H17" s="8"/>
      <c r="I17" s="1"/>
      <c r="J17" s="1"/>
      <c r="K17" s="1"/>
      <c r="L17" s="1"/>
      <c r="M17" s="1"/>
      <c r="N17" s="1"/>
      <c r="O17" s="1"/>
      <c r="P17" s="1"/>
      <c r="Q17" s="1"/>
      <c r="R17" s="1"/>
      <c r="S17" s="1"/>
      <c r="T17" s="1"/>
      <c r="U17" s="1"/>
      <c r="V17" s="1"/>
      <c r="W17" s="1"/>
      <c r="X17" s="1"/>
      <c r="Y17" s="1"/>
      <c r="Z17" s="1"/>
    </row>
    <row r="18" spans="1:26" ht="30" customHeight="1">
      <c r="A18" s="1" t="s">
        <v>38</v>
      </c>
      <c r="B18" s="1" t="s">
        <v>39</v>
      </c>
      <c r="C18" s="1">
        <f>COUNTIF(Tasks!B:B,A18)</f>
        <v>2</v>
      </c>
      <c r="D18" s="1"/>
      <c r="E18" s="8" t="s">
        <v>40</v>
      </c>
      <c r="F18" s="8"/>
      <c r="G18" s="8"/>
      <c r="H18" s="8"/>
      <c r="I18" s="1"/>
      <c r="J18" s="1"/>
      <c r="K18" s="1"/>
      <c r="L18" s="1"/>
      <c r="M18" s="1"/>
      <c r="N18" s="1"/>
      <c r="O18" s="1"/>
      <c r="P18" s="1"/>
      <c r="Q18" s="1"/>
      <c r="R18" s="1"/>
      <c r="S18" s="1"/>
      <c r="T18" s="1"/>
      <c r="U18" s="1"/>
      <c r="V18" s="1"/>
      <c r="W18" s="1"/>
      <c r="X18" s="1"/>
      <c r="Y18" s="1"/>
      <c r="Z18" s="1"/>
    </row>
    <row r="19" spans="1:26" ht="30" customHeight="1">
      <c r="A19" s="1" t="s">
        <v>41</v>
      </c>
      <c r="B19" s="1" t="s">
        <v>42</v>
      </c>
      <c r="C19" s="1">
        <f>COUNTIF(Tasks!B:B,A19)</f>
        <v>2</v>
      </c>
      <c r="D19" s="1"/>
      <c r="E19" s="8" t="s">
        <v>43</v>
      </c>
      <c r="F19" s="8"/>
      <c r="G19" s="8"/>
      <c r="H19" s="8"/>
      <c r="I19" s="1"/>
      <c r="J19" s="1"/>
      <c r="K19" s="1"/>
      <c r="L19" s="1"/>
      <c r="M19" s="1"/>
      <c r="N19" s="1"/>
      <c r="O19" s="1"/>
      <c r="P19" s="1"/>
      <c r="Q19" s="1"/>
      <c r="R19" s="1"/>
      <c r="S19" s="1"/>
      <c r="T19" s="1"/>
      <c r="U19" s="1"/>
      <c r="V19" s="1"/>
      <c r="W19" s="1"/>
      <c r="X19" s="1"/>
      <c r="Y19" s="1"/>
      <c r="Z19" s="1"/>
    </row>
    <row r="20" spans="1:26" ht="30" customHeight="1">
      <c r="A20" s="1" t="s">
        <v>44</v>
      </c>
      <c r="B20" s="1" t="s">
        <v>45</v>
      </c>
      <c r="C20" s="1">
        <f>COUNTIF(Tasks!B:B,A20)</f>
        <v>3</v>
      </c>
      <c r="D20" s="1"/>
      <c r="E20" s="8" t="s">
        <v>46</v>
      </c>
      <c r="F20" s="8"/>
      <c r="G20" s="8"/>
      <c r="H20" s="8"/>
      <c r="I20" s="1"/>
      <c r="J20" s="1"/>
      <c r="K20" s="1"/>
      <c r="L20" s="1"/>
      <c r="M20" s="1"/>
      <c r="N20" s="1"/>
      <c r="O20" s="1"/>
      <c r="P20" s="1"/>
      <c r="Q20" s="1"/>
      <c r="R20" s="1"/>
      <c r="S20" s="1"/>
      <c r="T20" s="1"/>
      <c r="U20" s="1"/>
      <c r="V20" s="1"/>
      <c r="W20" s="1"/>
      <c r="X20" s="1"/>
      <c r="Y20" s="1"/>
      <c r="Z20" s="1"/>
    </row>
    <row r="21" spans="1:26" ht="30" customHeight="1">
      <c r="A21" s="1" t="s">
        <v>47</v>
      </c>
      <c r="B21" s="1" t="s">
        <v>48</v>
      </c>
      <c r="C21" s="1">
        <f>COUNTIF(Tasks!B:B,A21)</f>
        <v>2</v>
      </c>
      <c r="D21" s="1"/>
      <c r="E21" s="1"/>
      <c r="F21" s="1"/>
      <c r="G21" s="1"/>
      <c r="H21" s="1"/>
      <c r="I21" s="1"/>
      <c r="J21" s="1"/>
      <c r="K21" s="1"/>
      <c r="L21" s="1"/>
      <c r="M21" s="1"/>
      <c r="N21" s="1"/>
      <c r="O21" s="1"/>
      <c r="P21" s="1"/>
      <c r="Q21" s="1"/>
      <c r="R21" s="1"/>
      <c r="S21" s="1"/>
      <c r="T21" s="1"/>
      <c r="U21" s="1"/>
      <c r="V21" s="1"/>
      <c r="W21" s="1"/>
      <c r="X21" s="1"/>
      <c r="Y21" s="1"/>
      <c r="Z21" s="1"/>
    </row>
    <row r="22" spans="1:26" ht="30" customHeight="1">
      <c r="A22" s="1" t="s">
        <v>49</v>
      </c>
      <c r="B22" s="1" t="s">
        <v>50</v>
      </c>
      <c r="C22" s="1">
        <f>COUNTIF(Tasks!B:B,A22)</f>
        <v>3</v>
      </c>
      <c r="D22" s="1"/>
      <c r="E22" s="1"/>
      <c r="F22" s="1"/>
      <c r="G22" s="1"/>
      <c r="H22" s="1"/>
      <c r="I22" s="1"/>
      <c r="J22" s="1"/>
      <c r="K22" s="1"/>
      <c r="L22" s="1"/>
      <c r="M22" s="1"/>
      <c r="N22" s="1"/>
      <c r="O22" s="1"/>
      <c r="P22" s="1"/>
      <c r="Q22" s="1"/>
      <c r="R22" s="1"/>
      <c r="S22" s="1"/>
      <c r="T22" s="1"/>
      <c r="U22" s="1"/>
      <c r="V22" s="1"/>
      <c r="W22" s="1"/>
      <c r="X22" s="1"/>
      <c r="Y22" s="1"/>
      <c r="Z22" s="1"/>
    </row>
    <row r="23" spans="1:26" ht="30" customHeight="1">
      <c r="A23" s="1" t="s">
        <v>51</v>
      </c>
      <c r="B23" s="1" t="s">
        <v>52</v>
      </c>
      <c r="C23" s="1">
        <f>COUNTIF(Tasks!B:B,A23)</f>
        <v>2</v>
      </c>
      <c r="D23" s="1"/>
      <c r="E23" s="1"/>
      <c r="F23" s="1"/>
      <c r="G23" s="1"/>
      <c r="H23" s="1"/>
      <c r="I23" s="1"/>
      <c r="J23" s="1"/>
      <c r="K23" s="1"/>
      <c r="L23" s="1"/>
      <c r="M23" s="1"/>
      <c r="N23" s="1"/>
      <c r="O23" s="1"/>
      <c r="P23" s="1"/>
      <c r="Q23" s="1"/>
      <c r="R23" s="1"/>
      <c r="S23" s="1"/>
      <c r="T23" s="1"/>
      <c r="U23" s="1"/>
      <c r="V23" s="1"/>
      <c r="W23" s="1"/>
      <c r="X23" s="1"/>
      <c r="Y23" s="1"/>
      <c r="Z23" s="1"/>
    </row>
    <row r="24" spans="1:26" ht="30" customHeight="1">
      <c r="A24" s="1" t="s">
        <v>53</v>
      </c>
      <c r="B24" s="1" t="s">
        <v>54</v>
      </c>
      <c r="C24" s="1">
        <f>COUNTIF(Tasks!B:B,A24)</f>
        <v>2</v>
      </c>
      <c r="D24" s="1"/>
      <c r="E24" s="1"/>
      <c r="F24" s="1"/>
      <c r="G24" s="1"/>
      <c r="H24" s="1"/>
      <c r="I24" s="1"/>
      <c r="J24" s="1"/>
      <c r="K24" s="1"/>
      <c r="L24" s="1"/>
      <c r="M24" s="1"/>
      <c r="N24" s="1"/>
      <c r="O24" s="1"/>
      <c r="P24" s="1"/>
      <c r="Q24" s="1"/>
      <c r="R24" s="1"/>
      <c r="S24" s="1"/>
      <c r="T24" s="1"/>
      <c r="U24" s="1"/>
      <c r="V24" s="1"/>
      <c r="W24" s="1"/>
      <c r="X24" s="1"/>
      <c r="Y24" s="1"/>
      <c r="Z24" s="1"/>
    </row>
    <row r="25" spans="1:26" ht="30" customHeight="1">
      <c r="A25" s="1" t="s">
        <v>55</v>
      </c>
      <c r="B25" s="1" t="s">
        <v>56</v>
      </c>
      <c r="C25" s="1">
        <f>COUNTIF(Tasks!B:B,A25)</f>
        <v>2</v>
      </c>
      <c r="D25" s="1"/>
      <c r="E25" s="1"/>
      <c r="F25" s="1"/>
      <c r="G25" s="1"/>
      <c r="H25" s="1"/>
      <c r="I25" s="1"/>
      <c r="J25" s="1"/>
      <c r="K25" s="1"/>
      <c r="L25" s="1"/>
      <c r="M25" s="1"/>
      <c r="N25" s="1"/>
      <c r="O25" s="1"/>
      <c r="P25" s="1"/>
      <c r="Q25" s="1"/>
      <c r="R25" s="1"/>
      <c r="S25" s="1"/>
      <c r="T25" s="1"/>
      <c r="U25" s="1"/>
      <c r="V25" s="1"/>
      <c r="W25" s="1"/>
      <c r="X25" s="1"/>
      <c r="Y25" s="1"/>
      <c r="Z25" s="1"/>
    </row>
    <row r="26" spans="1:26" ht="3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3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3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3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3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mergeCells count="11">
    <mergeCell ref="E20:H20"/>
    <mergeCell ref="E15:H15"/>
    <mergeCell ref="E16:H16"/>
    <mergeCell ref="E17:H17"/>
    <mergeCell ref="E18:H18"/>
    <mergeCell ref="E19:H19"/>
    <mergeCell ref="A1:H1"/>
    <mergeCell ref="A2:H2"/>
    <mergeCell ref="E12:H12"/>
    <mergeCell ref="E13:H13"/>
    <mergeCell ref="E14:H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0"/>
  <sheetViews>
    <sheetView workbookViewId="0"/>
  </sheetViews>
  <sheetFormatPr defaultRowHeight="14.25"/>
  <cols>
    <col min="1" max="2" width="10" customWidth="1"/>
    <col min="3" max="3" width="24" customWidth="1"/>
    <col min="4" max="4" width="42" customWidth="1"/>
    <col min="5" max="6" width="12" customWidth="1"/>
    <col min="7" max="7" width="20" customWidth="1"/>
    <col min="8" max="8" width="18" customWidth="1"/>
    <col min="9" max="9" width="10" customWidth="1"/>
    <col min="10" max="11" width="16" customWidth="1"/>
    <col min="12" max="12" width="34" customWidth="1"/>
    <col min="13" max="13" width="44" customWidth="1"/>
    <col min="14" max="14" width="28" customWidth="1"/>
    <col min="15" max="15" width="14" customWidth="1"/>
    <col min="16" max="16" width="11" customWidth="1"/>
  </cols>
  <sheetData>
    <row r="1" spans="1:26" ht="15">
      <c r="A1" s="2" t="s">
        <v>57</v>
      </c>
      <c r="B1" s="2" t="s">
        <v>58</v>
      </c>
      <c r="C1" s="2" t="s">
        <v>59</v>
      </c>
      <c r="D1" s="2" t="s">
        <v>60</v>
      </c>
      <c r="E1" s="2" t="s">
        <v>61</v>
      </c>
      <c r="F1" s="2" t="s">
        <v>62</v>
      </c>
      <c r="G1" s="2" t="s">
        <v>63</v>
      </c>
      <c r="H1" s="2" t="s">
        <v>4</v>
      </c>
      <c r="I1" s="2" t="s">
        <v>64</v>
      </c>
      <c r="J1" s="2" t="s">
        <v>65</v>
      </c>
      <c r="K1" s="2" t="s">
        <v>66</v>
      </c>
      <c r="L1" s="2" t="s">
        <v>67</v>
      </c>
      <c r="M1" s="2" t="s">
        <v>68</v>
      </c>
      <c r="N1" s="2" t="s">
        <v>69</v>
      </c>
      <c r="O1" s="2" t="s">
        <v>70</v>
      </c>
      <c r="P1" s="2" t="s">
        <v>5</v>
      </c>
      <c r="Q1" s="1"/>
      <c r="R1" s="1"/>
      <c r="S1" s="1"/>
      <c r="T1" s="1"/>
      <c r="U1" s="1"/>
      <c r="V1" s="1"/>
      <c r="W1" s="1"/>
      <c r="X1" s="1"/>
      <c r="Y1" s="1"/>
      <c r="Z1" s="1"/>
    </row>
    <row r="2" spans="1:26" ht="51.95" customHeight="1">
      <c r="A2" s="1" t="s">
        <v>23</v>
      </c>
      <c r="B2" s="1" t="s">
        <v>71</v>
      </c>
      <c r="C2" s="1" t="s">
        <v>24</v>
      </c>
      <c r="D2" s="1" t="s">
        <v>72</v>
      </c>
      <c r="E2" s="4">
        <v>46284</v>
      </c>
      <c r="F2" s="4">
        <v>46286</v>
      </c>
      <c r="G2" s="1" t="s">
        <v>73</v>
      </c>
      <c r="H2" s="1" t="s">
        <v>10</v>
      </c>
      <c r="I2" s="1" t="s">
        <v>74</v>
      </c>
      <c r="J2" s="1" t="s">
        <v>11</v>
      </c>
      <c r="K2" s="1" t="s">
        <v>14</v>
      </c>
      <c r="L2" s="1" t="s">
        <v>75</v>
      </c>
      <c r="M2" s="1" t="s">
        <v>76</v>
      </c>
      <c r="N2" s="1" t="s">
        <v>77</v>
      </c>
      <c r="O2" s="1" t="s">
        <v>78</v>
      </c>
      <c r="P2" s="1">
        <v>3</v>
      </c>
      <c r="Q2" s="1"/>
      <c r="R2" s="1"/>
      <c r="S2" s="1"/>
      <c r="T2" s="1"/>
      <c r="U2" s="1"/>
      <c r="V2" s="1"/>
      <c r="W2" s="1"/>
      <c r="X2" s="1"/>
      <c r="Y2" s="1"/>
      <c r="Z2" s="1"/>
    </row>
    <row r="3" spans="1:26" ht="51.95" customHeight="1">
      <c r="A3" s="1" t="s">
        <v>26</v>
      </c>
      <c r="B3" s="1" t="s">
        <v>79</v>
      </c>
      <c r="C3" s="1" t="s">
        <v>27</v>
      </c>
      <c r="D3" s="1" t="s">
        <v>80</v>
      </c>
      <c r="E3" s="4">
        <v>46287</v>
      </c>
      <c r="F3" s="4">
        <v>46292</v>
      </c>
      <c r="G3" s="1" t="s">
        <v>81</v>
      </c>
      <c r="H3" s="1" t="s">
        <v>10</v>
      </c>
      <c r="I3" s="1" t="s">
        <v>74</v>
      </c>
      <c r="J3" s="1" t="s">
        <v>11</v>
      </c>
      <c r="K3" s="1" t="s">
        <v>14</v>
      </c>
      <c r="L3" s="1" t="s">
        <v>82</v>
      </c>
      <c r="M3" s="1" t="s">
        <v>83</v>
      </c>
      <c r="N3" s="1" t="s">
        <v>84</v>
      </c>
      <c r="O3" s="1" t="s">
        <v>85</v>
      </c>
      <c r="P3" s="1">
        <v>4</v>
      </c>
      <c r="Q3" s="1"/>
      <c r="R3" s="1"/>
      <c r="S3" s="1"/>
      <c r="T3" s="1"/>
      <c r="U3" s="1"/>
      <c r="V3" s="1"/>
      <c r="W3" s="1"/>
      <c r="X3" s="1"/>
      <c r="Y3" s="1"/>
      <c r="Z3" s="1"/>
    </row>
    <row r="4" spans="1:26" ht="51.95" customHeight="1">
      <c r="A4" s="1" t="s">
        <v>29</v>
      </c>
      <c r="B4" s="1" t="s">
        <v>86</v>
      </c>
      <c r="C4" s="1" t="s">
        <v>30</v>
      </c>
      <c r="D4" s="1" t="s">
        <v>87</v>
      </c>
      <c r="E4" s="4">
        <v>46293</v>
      </c>
      <c r="F4" s="4">
        <v>46299</v>
      </c>
      <c r="G4" s="1" t="s">
        <v>81</v>
      </c>
      <c r="H4" s="1" t="s">
        <v>10</v>
      </c>
      <c r="I4" s="1" t="s">
        <v>74</v>
      </c>
      <c r="J4" s="1" t="s">
        <v>14</v>
      </c>
      <c r="K4" s="1" t="s">
        <v>11</v>
      </c>
      <c r="L4" s="1" t="s">
        <v>88</v>
      </c>
      <c r="M4" s="1" t="s">
        <v>89</v>
      </c>
      <c r="N4" s="1" t="s">
        <v>90</v>
      </c>
      <c r="O4" s="1" t="s">
        <v>85</v>
      </c>
      <c r="P4" s="1">
        <v>3</v>
      </c>
      <c r="Q4" s="1"/>
      <c r="R4" s="1"/>
      <c r="S4" s="1"/>
      <c r="T4" s="1"/>
      <c r="U4" s="1"/>
      <c r="V4" s="1"/>
      <c r="W4" s="1"/>
      <c r="X4" s="1"/>
      <c r="Y4" s="1"/>
      <c r="Z4" s="1"/>
    </row>
    <row r="5" spans="1:26" ht="51.95" customHeight="1">
      <c r="A5" s="1" t="s">
        <v>32</v>
      </c>
      <c r="B5" s="1" t="s">
        <v>91</v>
      </c>
      <c r="C5" s="1" t="s">
        <v>33</v>
      </c>
      <c r="D5" s="1" t="s">
        <v>92</v>
      </c>
      <c r="E5" s="4">
        <v>46300</v>
      </c>
      <c r="F5" s="4">
        <v>46307</v>
      </c>
      <c r="G5" s="1" t="s">
        <v>81</v>
      </c>
      <c r="H5" s="1" t="s">
        <v>10</v>
      </c>
      <c r="I5" s="1" t="s">
        <v>74</v>
      </c>
      <c r="J5" s="1" t="s">
        <v>14</v>
      </c>
      <c r="K5" s="1" t="s">
        <v>11</v>
      </c>
      <c r="L5" s="1" t="s">
        <v>93</v>
      </c>
      <c r="M5" s="1" t="s">
        <v>94</v>
      </c>
      <c r="N5" s="1" t="s">
        <v>95</v>
      </c>
      <c r="O5" s="1" t="s">
        <v>85</v>
      </c>
      <c r="P5" s="1">
        <v>2</v>
      </c>
      <c r="Q5" s="1"/>
      <c r="R5" s="1"/>
      <c r="S5" s="1"/>
      <c r="T5" s="1"/>
      <c r="U5" s="1"/>
      <c r="V5" s="1"/>
      <c r="W5" s="1"/>
      <c r="X5" s="1"/>
      <c r="Y5" s="1"/>
      <c r="Z5" s="1"/>
    </row>
    <row r="6" spans="1:26" ht="51.95" customHeight="1">
      <c r="A6" s="1" t="s">
        <v>35</v>
      </c>
      <c r="B6" s="1" t="s">
        <v>96</v>
      </c>
      <c r="C6" s="1" t="s">
        <v>36</v>
      </c>
      <c r="D6" s="1" t="s">
        <v>97</v>
      </c>
      <c r="E6" s="4">
        <v>46308</v>
      </c>
      <c r="F6" s="4">
        <v>46313</v>
      </c>
      <c r="G6" s="1" t="s">
        <v>98</v>
      </c>
      <c r="H6" s="1" t="s">
        <v>10</v>
      </c>
      <c r="I6" s="1" t="s">
        <v>74</v>
      </c>
      <c r="J6" s="1" t="s">
        <v>11</v>
      </c>
      <c r="K6" s="1" t="s">
        <v>14</v>
      </c>
      <c r="L6" s="1" t="s">
        <v>99</v>
      </c>
      <c r="M6" s="1" t="s">
        <v>100</v>
      </c>
      <c r="N6" s="1" t="s">
        <v>101</v>
      </c>
      <c r="O6" s="1" t="s">
        <v>85</v>
      </c>
      <c r="P6" s="1">
        <v>2</v>
      </c>
      <c r="Q6" s="1"/>
      <c r="R6" s="1"/>
      <c r="S6" s="1"/>
      <c r="T6" s="1"/>
      <c r="U6" s="1"/>
      <c r="V6" s="1"/>
      <c r="W6" s="1"/>
      <c r="X6" s="1"/>
      <c r="Y6" s="1"/>
      <c r="Z6" s="1"/>
    </row>
    <row r="7" spans="1:26" ht="51.95" customHeight="1">
      <c r="A7" s="1" t="s">
        <v>38</v>
      </c>
      <c r="B7" s="1" t="s">
        <v>102</v>
      </c>
      <c r="C7" s="1" t="s">
        <v>39</v>
      </c>
      <c r="D7" s="1" t="s">
        <v>103</v>
      </c>
      <c r="E7" s="4">
        <v>46314</v>
      </c>
      <c r="F7" s="4">
        <v>46320</v>
      </c>
      <c r="G7" s="1" t="s">
        <v>98</v>
      </c>
      <c r="H7" s="1" t="s">
        <v>10</v>
      </c>
      <c r="I7" s="1" t="s">
        <v>74</v>
      </c>
      <c r="J7" s="1" t="s">
        <v>14</v>
      </c>
      <c r="K7" s="1" t="s">
        <v>11</v>
      </c>
      <c r="L7" s="1" t="s">
        <v>104</v>
      </c>
      <c r="M7" s="1" t="s">
        <v>105</v>
      </c>
      <c r="N7" s="1" t="s">
        <v>106</v>
      </c>
      <c r="O7" s="1" t="s">
        <v>85</v>
      </c>
      <c r="P7" s="1">
        <v>2</v>
      </c>
      <c r="Q7" s="1"/>
      <c r="R7" s="1"/>
      <c r="S7" s="1"/>
      <c r="T7" s="1"/>
      <c r="U7" s="1"/>
      <c r="V7" s="1"/>
      <c r="W7" s="1"/>
      <c r="X7" s="1"/>
      <c r="Y7" s="1"/>
      <c r="Z7" s="1"/>
    </row>
    <row r="8" spans="1:26" ht="51.95" customHeight="1">
      <c r="A8" s="1" t="s">
        <v>41</v>
      </c>
      <c r="B8" s="1" t="s">
        <v>107</v>
      </c>
      <c r="C8" s="1" t="s">
        <v>42</v>
      </c>
      <c r="D8" s="1" t="s">
        <v>108</v>
      </c>
      <c r="E8" s="4">
        <v>46321</v>
      </c>
      <c r="F8" s="4">
        <v>46327</v>
      </c>
      <c r="G8" s="1" t="s">
        <v>98</v>
      </c>
      <c r="H8" s="1" t="s">
        <v>10</v>
      </c>
      <c r="I8" s="1" t="s">
        <v>74</v>
      </c>
      <c r="J8" s="1" t="s">
        <v>11</v>
      </c>
      <c r="K8" s="1" t="s">
        <v>14</v>
      </c>
      <c r="L8" s="1" t="s">
        <v>109</v>
      </c>
      <c r="M8" s="1" t="s">
        <v>110</v>
      </c>
      <c r="N8" s="1" t="s">
        <v>111</v>
      </c>
      <c r="O8" s="1" t="s">
        <v>85</v>
      </c>
      <c r="P8" s="1">
        <v>2</v>
      </c>
      <c r="Q8" s="1"/>
      <c r="R8" s="1"/>
      <c r="S8" s="1"/>
      <c r="T8" s="1"/>
      <c r="U8" s="1"/>
      <c r="V8" s="1"/>
      <c r="W8" s="1"/>
      <c r="X8" s="1"/>
      <c r="Y8" s="1"/>
      <c r="Z8" s="1"/>
    </row>
    <row r="9" spans="1:26" ht="51.95" customHeight="1">
      <c r="A9" s="1" t="s">
        <v>44</v>
      </c>
      <c r="B9" s="1" t="s">
        <v>112</v>
      </c>
      <c r="C9" s="1" t="s">
        <v>45</v>
      </c>
      <c r="D9" s="1" t="s">
        <v>113</v>
      </c>
      <c r="E9" s="4">
        <v>46328</v>
      </c>
      <c r="F9" s="4">
        <v>46334</v>
      </c>
      <c r="G9" s="1" t="s">
        <v>98</v>
      </c>
      <c r="H9" s="1" t="s">
        <v>10</v>
      </c>
      <c r="I9" s="1" t="s">
        <v>74</v>
      </c>
      <c r="J9" s="1" t="s">
        <v>14</v>
      </c>
      <c r="K9" s="1" t="s">
        <v>11</v>
      </c>
      <c r="L9" s="1" t="s">
        <v>114</v>
      </c>
      <c r="M9" s="1" t="s">
        <v>115</v>
      </c>
      <c r="N9" s="1" t="s">
        <v>116</v>
      </c>
      <c r="O9" s="1" t="s">
        <v>85</v>
      </c>
      <c r="P9" s="1">
        <v>3</v>
      </c>
      <c r="Q9" s="1"/>
      <c r="R9" s="1"/>
      <c r="S9" s="1"/>
      <c r="T9" s="1"/>
      <c r="U9" s="1"/>
      <c r="V9" s="1"/>
      <c r="W9" s="1"/>
      <c r="X9" s="1"/>
      <c r="Y9" s="1"/>
      <c r="Z9" s="1"/>
    </row>
    <row r="10" spans="1:26" ht="51.95" customHeight="1">
      <c r="A10" s="1" t="s">
        <v>47</v>
      </c>
      <c r="B10" s="1" t="s">
        <v>117</v>
      </c>
      <c r="C10" s="1" t="s">
        <v>48</v>
      </c>
      <c r="D10" s="1" t="s">
        <v>118</v>
      </c>
      <c r="E10" s="4">
        <v>46335</v>
      </c>
      <c r="F10" s="4">
        <v>46342</v>
      </c>
      <c r="G10" s="1" t="s">
        <v>98</v>
      </c>
      <c r="H10" s="1" t="s">
        <v>10</v>
      </c>
      <c r="I10" s="1" t="s">
        <v>74</v>
      </c>
      <c r="J10" s="1" t="s">
        <v>11</v>
      </c>
      <c r="K10" s="1" t="s">
        <v>14</v>
      </c>
      <c r="L10" s="1" t="s">
        <v>119</v>
      </c>
      <c r="M10" s="1" t="s">
        <v>120</v>
      </c>
      <c r="N10" s="1" t="s">
        <v>121</v>
      </c>
      <c r="O10" s="1" t="s">
        <v>85</v>
      </c>
      <c r="P10" s="1">
        <v>2</v>
      </c>
      <c r="Q10" s="1"/>
      <c r="R10" s="1"/>
      <c r="S10" s="1"/>
      <c r="T10" s="1"/>
      <c r="U10" s="1"/>
      <c r="V10" s="1"/>
      <c r="W10" s="1"/>
      <c r="X10" s="1"/>
      <c r="Y10" s="1"/>
      <c r="Z10" s="1"/>
    </row>
    <row r="11" spans="1:26" ht="51.95" customHeight="1">
      <c r="A11" s="1" t="s">
        <v>49</v>
      </c>
      <c r="B11" s="1" t="s">
        <v>122</v>
      </c>
      <c r="C11" s="1" t="s">
        <v>50</v>
      </c>
      <c r="D11" s="1" t="s">
        <v>123</v>
      </c>
      <c r="E11" s="4">
        <v>46343</v>
      </c>
      <c r="F11" s="4">
        <v>46349</v>
      </c>
      <c r="G11" s="1" t="s">
        <v>124</v>
      </c>
      <c r="H11" s="1" t="s">
        <v>13</v>
      </c>
      <c r="I11" s="1" t="s">
        <v>125</v>
      </c>
      <c r="J11" s="1" t="s">
        <v>11</v>
      </c>
      <c r="K11" s="1" t="s">
        <v>14</v>
      </c>
      <c r="L11" s="1" t="s">
        <v>126</v>
      </c>
      <c r="M11" s="1" t="s">
        <v>127</v>
      </c>
      <c r="N11" s="1" t="s">
        <v>128</v>
      </c>
      <c r="O11" s="1" t="s">
        <v>85</v>
      </c>
      <c r="P11" s="1">
        <v>3</v>
      </c>
      <c r="Q11" s="1"/>
      <c r="R11" s="1"/>
      <c r="S11" s="1"/>
      <c r="T11" s="1"/>
      <c r="U11" s="1"/>
      <c r="V11" s="1"/>
      <c r="W11" s="1"/>
      <c r="X11" s="1"/>
      <c r="Y11" s="1"/>
      <c r="Z11" s="1"/>
    </row>
    <row r="12" spans="1:26" ht="51.95" customHeight="1">
      <c r="A12" s="1" t="s">
        <v>51</v>
      </c>
      <c r="B12" s="1" t="s">
        <v>129</v>
      </c>
      <c r="C12" s="1" t="s">
        <v>52</v>
      </c>
      <c r="D12" s="1" t="s">
        <v>130</v>
      </c>
      <c r="E12" s="4">
        <v>46350</v>
      </c>
      <c r="F12" s="4">
        <v>46356</v>
      </c>
      <c r="G12" s="1" t="s">
        <v>124</v>
      </c>
      <c r="H12" s="1" t="s">
        <v>16</v>
      </c>
      <c r="I12" s="1" t="s">
        <v>125</v>
      </c>
      <c r="J12" s="1" t="s">
        <v>14</v>
      </c>
      <c r="K12" s="1" t="s">
        <v>11</v>
      </c>
      <c r="L12" s="1" t="s">
        <v>131</v>
      </c>
      <c r="M12" s="1" t="s">
        <v>132</v>
      </c>
      <c r="N12" s="1" t="s">
        <v>133</v>
      </c>
      <c r="O12" s="1" t="s">
        <v>85</v>
      </c>
      <c r="P12" s="1">
        <v>2</v>
      </c>
      <c r="Q12" s="1"/>
      <c r="R12" s="1"/>
      <c r="S12" s="1"/>
      <c r="T12" s="1"/>
      <c r="U12" s="1"/>
      <c r="V12" s="1"/>
      <c r="W12" s="1"/>
      <c r="X12" s="1"/>
      <c r="Y12" s="1"/>
      <c r="Z12" s="1"/>
    </row>
    <row r="13" spans="1:26" ht="51.95" customHeight="1">
      <c r="A13" s="1" t="s">
        <v>53</v>
      </c>
      <c r="B13" s="1" t="s">
        <v>134</v>
      </c>
      <c r="C13" s="1" t="s">
        <v>54</v>
      </c>
      <c r="D13" s="1" t="s">
        <v>135</v>
      </c>
      <c r="E13" s="4">
        <v>46357</v>
      </c>
      <c r="F13" s="4">
        <v>46363</v>
      </c>
      <c r="G13" s="1" t="s">
        <v>124</v>
      </c>
      <c r="H13" s="1" t="s">
        <v>16</v>
      </c>
      <c r="I13" s="1" t="s">
        <v>125</v>
      </c>
      <c r="J13" s="1" t="s">
        <v>14</v>
      </c>
      <c r="K13" s="1" t="s">
        <v>11</v>
      </c>
      <c r="L13" s="1" t="s">
        <v>136</v>
      </c>
      <c r="M13" s="1" t="s">
        <v>137</v>
      </c>
      <c r="N13" s="1" t="s">
        <v>138</v>
      </c>
      <c r="O13" s="1" t="s">
        <v>85</v>
      </c>
      <c r="P13" s="1">
        <v>2</v>
      </c>
      <c r="Q13" s="1"/>
      <c r="R13" s="1"/>
      <c r="S13" s="1"/>
      <c r="T13" s="1"/>
      <c r="U13" s="1"/>
      <c r="V13" s="1"/>
      <c r="W13" s="1"/>
      <c r="X13" s="1"/>
      <c r="Y13" s="1"/>
      <c r="Z13" s="1"/>
    </row>
    <row r="14" spans="1:26" ht="51.95" customHeight="1">
      <c r="A14" s="1" t="s">
        <v>55</v>
      </c>
      <c r="B14" s="1" t="s">
        <v>139</v>
      </c>
      <c r="C14" s="1" t="s">
        <v>56</v>
      </c>
      <c r="D14" s="1" t="s">
        <v>140</v>
      </c>
      <c r="E14" s="4">
        <v>46364</v>
      </c>
      <c r="F14" s="4">
        <v>46368</v>
      </c>
      <c r="G14" s="1" t="s">
        <v>124</v>
      </c>
      <c r="H14" s="1" t="s">
        <v>10</v>
      </c>
      <c r="I14" s="1" t="s">
        <v>74</v>
      </c>
      <c r="J14" s="1" t="s">
        <v>11</v>
      </c>
      <c r="K14" s="1" t="s">
        <v>14</v>
      </c>
      <c r="L14" s="1" t="s">
        <v>141</v>
      </c>
      <c r="M14" s="1" t="s">
        <v>142</v>
      </c>
      <c r="N14" s="1" t="s">
        <v>143</v>
      </c>
      <c r="O14" s="1" t="s">
        <v>85</v>
      </c>
      <c r="P14" s="1">
        <v>2</v>
      </c>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00"/>
  <sheetViews>
    <sheetView workbookViewId="0"/>
  </sheetViews>
  <sheetFormatPr defaultRowHeight="14.25"/>
  <cols>
    <col min="1" max="1" width="13" customWidth="1"/>
    <col min="2" max="2" width="8" customWidth="1"/>
    <col min="3" max="3" width="7" customWidth="1"/>
    <col min="4" max="4" width="32" customWidth="1"/>
    <col min="5" max="5" width="58" customWidth="1"/>
    <col min="6" max="6" width="18" customWidth="1"/>
    <col min="7" max="7" width="9" customWidth="1"/>
    <col min="8" max="8" width="10" customWidth="1"/>
    <col min="9" max="10" width="16" customWidth="1"/>
    <col min="11" max="11" width="26" customWidth="1"/>
    <col min="12" max="12" width="38" customWidth="1"/>
    <col min="13" max="13" width="48" customWidth="1"/>
    <col min="14" max="14" width="42" customWidth="1"/>
    <col min="15" max="15" width="56" customWidth="1"/>
    <col min="16" max="16" width="48" customWidth="1"/>
    <col min="17" max="17" width="24" customWidth="1"/>
    <col min="18" max="18" width="12" customWidth="1"/>
  </cols>
  <sheetData>
    <row r="1" spans="1:26" ht="33.950000000000003" customHeight="1">
      <c r="A1" s="2" t="s">
        <v>144</v>
      </c>
      <c r="B1" s="2" t="s">
        <v>20</v>
      </c>
      <c r="C1" s="2" t="s">
        <v>145</v>
      </c>
      <c r="D1" s="2" t="s">
        <v>146</v>
      </c>
      <c r="E1" s="2" t="s">
        <v>147</v>
      </c>
      <c r="F1" s="2" t="s">
        <v>4</v>
      </c>
      <c r="G1" s="2" t="s">
        <v>64</v>
      </c>
      <c r="H1" s="2" t="s">
        <v>148</v>
      </c>
      <c r="I1" s="2" t="s">
        <v>6</v>
      </c>
      <c r="J1" s="2" t="s">
        <v>149</v>
      </c>
      <c r="K1" s="2" t="s">
        <v>150</v>
      </c>
      <c r="L1" s="2" t="s">
        <v>151</v>
      </c>
      <c r="M1" s="2" t="s">
        <v>152</v>
      </c>
      <c r="N1" s="2" t="s">
        <v>153</v>
      </c>
      <c r="O1" s="2" t="s">
        <v>154</v>
      </c>
      <c r="P1" s="2" t="s">
        <v>155</v>
      </c>
      <c r="Q1" s="2" t="s">
        <v>156</v>
      </c>
      <c r="R1" s="2" t="s">
        <v>70</v>
      </c>
      <c r="S1" s="1"/>
      <c r="T1" s="1"/>
      <c r="U1" s="1"/>
      <c r="V1" s="1"/>
      <c r="W1" s="1"/>
      <c r="X1" s="1"/>
      <c r="Y1" s="1"/>
      <c r="Z1" s="1"/>
    </row>
    <row r="2" spans="1:26" ht="92.1" customHeight="1">
      <c r="A2" s="1" t="s">
        <v>157</v>
      </c>
      <c r="B2" s="1" t="s">
        <v>23</v>
      </c>
      <c r="C2" s="1">
        <v>1</v>
      </c>
      <c r="D2" s="1" t="s">
        <v>158</v>
      </c>
      <c r="E2" s="1" t="s">
        <v>159</v>
      </c>
      <c r="F2" s="1" t="s">
        <v>10</v>
      </c>
      <c r="G2" s="1" t="s">
        <v>74</v>
      </c>
      <c r="H2" s="1">
        <v>3</v>
      </c>
      <c r="I2" s="1" t="s">
        <v>11</v>
      </c>
      <c r="J2" s="1" t="s">
        <v>14</v>
      </c>
      <c r="K2" s="1"/>
      <c r="L2" s="1" t="s">
        <v>160</v>
      </c>
      <c r="M2" s="1" t="s">
        <v>161</v>
      </c>
      <c r="N2" s="1" t="s">
        <v>162</v>
      </c>
      <c r="O2" s="1" t="s">
        <v>163</v>
      </c>
      <c r="P2" s="1" t="s">
        <v>164</v>
      </c>
      <c r="Q2" s="1" t="s">
        <v>165</v>
      </c>
      <c r="R2" s="1" t="s">
        <v>166</v>
      </c>
      <c r="S2" s="1"/>
      <c r="T2" s="1"/>
      <c r="U2" s="1"/>
      <c r="V2" s="1"/>
      <c r="W2" s="1"/>
      <c r="X2" s="1"/>
      <c r="Y2" s="1"/>
      <c r="Z2" s="1"/>
    </row>
    <row r="3" spans="1:26" ht="92.1" customHeight="1">
      <c r="A3" s="1" t="s">
        <v>167</v>
      </c>
      <c r="B3" s="1" t="s">
        <v>23</v>
      </c>
      <c r="C3" s="1">
        <v>2</v>
      </c>
      <c r="D3" s="1" t="s">
        <v>168</v>
      </c>
      <c r="E3" s="1" t="s">
        <v>169</v>
      </c>
      <c r="F3" s="1" t="s">
        <v>10</v>
      </c>
      <c r="G3" s="1" t="s">
        <v>74</v>
      </c>
      <c r="H3" s="1">
        <v>3</v>
      </c>
      <c r="I3" s="1" t="s">
        <v>14</v>
      </c>
      <c r="J3" s="1" t="s">
        <v>11</v>
      </c>
      <c r="K3" s="1" t="s">
        <v>157</v>
      </c>
      <c r="L3" s="1" t="s">
        <v>170</v>
      </c>
      <c r="M3" s="1" t="s">
        <v>171</v>
      </c>
      <c r="N3" s="1" t="s">
        <v>172</v>
      </c>
      <c r="O3" s="1" t="s">
        <v>173</v>
      </c>
      <c r="P3" s="1" t="s">
        <v>174</v>
      </c>
      <c r="Q3" s="1" t="s">
        <v>175</v>
      </c>
      <c r="R3" s="1" t="s">
        <v>176</v>
      </c>
      <c r="S3" s="1"/>
      <c r="T3" s="1"/>
      <c r="U3" s="1"/>
      <c r="V3" s="1"/>
      <c r="W3" s="1"/>
      <c r="X3" s="1"/>
      <c r="Y3" s="1"/>
      <c r="Z3" s="1"/>
    </row>
    <row r="4" spans="1:26" ht="92.1" customHeight="1">
      <c r="A4" s="1" t="s">
        <v>177</v>
      </c>
      <c r="B4" s="1" t="s">
        <v>23</v>
      </c>
      <c r="C4" s="1">
        <v>3</v>
      </c>
      <c r="D4" s="1" t="s">
        <v>178</v>
      </c>
      <c r="E4" s="1" t="s">
        <v>179</v>
      </c>
      <c r="F4" s="1" t="s">
        <v>10</v>
      </c>
      <c r="G4" s="1" t="s">
        <v>74</v>
      </c>
      <c r="H4" s="1">
        <v>2</v>
      </c>
      <c r="I4" s="1" t="s">
        <v>11</v>
      </c>
      <c r="J4" s="1" t="s">
        <v>14</v>
      </c>
      <c r="K4" s="1" t="s">
        <v>180</v>
      </c>
      <c r="L4" s="1" t="s">
        <v>181</v>
      </c>
      <c r="M4" s="1" t="s">
        <v>182</v>
      </c>
      <c r="N4" s="1" t="s">
        <v>183</v>
      </c>
      <c r="O4" s="1" t="s">
        <v>184</v>
      </c>
      <c r="P4" s="1" t="s">
        <v>185</v>
      </c>
      <c r="Q4" s="1" t="s">
        <v>186</v>
      </c>
      <c r="R4" s="1" t="s">
        <v>176</v>
      </c>
      <c r="S4" s="1"/>
      <c r="T4" s="1"/>
      <c r="U4" s="1"/>
      <c r="V4" s="1"/>
      <c r="W4" s="1"/>
      <c r="X4" s="1"/>
      <c r="Y4" s="1"/>
      <c r="Z4" s="1"/>
    </row>
    <row r="5" spans="1:26" ht="92.1" customHeight="1">
      <c r="A5" s="1" t="s">
        <v>187</v>
      </c>
      <c r="B5" s="1" t="s">
        <v>26</v>
      </c>
      <c r="C5" s="1">
        <v>1</v>
      </c>
      <c r="D5" s="1" t="s">
        <v>188</v>
      </c>
      <c r="E5" s="1" t="s">
        <v>189</v>
      </c>
      <c r="F5" s="1" t="s">
        <v>10</v>
      </c>
      <c r="G5" s="1" t="s">
        <v>74</v>
      </c>
      <c r="H5" s="1">
        <v>3</v>
      </c>
      <c r="I5" s="1" t="s">
        <v>14</v>
      </c>
      <c r="J5" s="1" t="s">
        <v>11</v>
      </c>
      <c r="K5" s="1" t="s">
        <v>167</v>
      </c>
      <c r="L5" s="1" t="s">
        <v>190</v>
      </c>
      <c r="M5" s="1" t="s">
        <v>191</v>
      </c>
      <c r="N5" s="1" t="s">
        <v>192</v>
      </c>
      <c r="O5" s="1" t="s">
        <v>193</v>
      </c>
      <c r="P5" s="1" t="s">
        <v>194</v>
      </c>
      <c r="Q5" s="1" t="s">
        <v>195</v>
      </c>
      <c r="R5" s="1" t="s">
        <v>176</v>
      </c>
      <c r="S5" s="1"/>
      <c r="T5" s="1"/>
      <c r="U5" s="1"/>
      <c r="V5" s="1"/>
      <c r="W5" s="1"/>
      <c r="X5" s="1"/>
      <c r="Y5" s="1"/>
      <c r="Z5" s="1"/>
    </row>
    <row r="6" spans="1:26" ht="92.1" customHeight="1">
      <c r="A6" s="1" t="s">
        <v>196</v>
      </c>
      <c r="B6" s="1" t="s">
        <v>26</v>
      </c>
      <c r="C6" s="1">
        <v>2</v>
      </c>
      <c r="D6" s="1" t="s">
        <v>197</v>
      </c>
      <c r="E6" s="1" t="s">
        <v>198</v>
      </c>
      <c r="F6" s="1" t="s">
        <v>10</v>
      </c>
      <c r="G6" s="1" t="s">
        <v>74</v>
      </c>
      <c r="H6" s="1">
        <v>5</v>
      </c>
      <c r="I6" s="1" t="s">
        <v>11</v>
      </c>
      <c r="J6" s="1" t="s">
        <v>14</v>
      </c>
      <c r="K6" s="1" t="s">
        <v>187</v>
      </c>
      <c r="L6" s="1" t="s">
        <v>199</v>
      </c>
      <c r="M6" s="1" t="s">
        <v>200</v>
      </c>
      <c r="N6" s="1" t="s">
        <v>201</v>
      </c>
      <c r="O6" s="1" t="s">
        <v>202</v>
      </c>
      <c r="P6" s="1" t="s">
        <v>203</v>
      </c>
      <c r="Q6" s="1" t="s">
        <v>204</v>
      </c>
      <c r="R6" s="1" t="s">
        <v>176</v>
      </c>
      <c r="S6" s="1"/>
      <c r="T6" s="1"/>
      <c r="U6" s="1"/>
      <c r="V6" s="1"/>
      <c r="W6" s="1"/>
      <c r="X6" s="1"/>
      <c r="Y6" s="1"/>
      <c r="Z6" s="1"/>
    </row>
    <row r="7" spans="1:26" ht="92.1" customHeight="1">
      <c r="A7" s="1" t="s">
        <v>205</v>
      </c>
      <c r="B7" s="1" t="s">
        <v>26</v>
      </c>
      <c r="C7" s="1">
        <v>3</v>
      </c>
      <c r="D7" s="1" t="s">
        <v>206</v>
      </c>
      <c r="E7" s="1" t="s">
        <v>207</v>
      </c>
      <c r="F7" s="1" t="s">
        <v>10</v>
      </c>
      <c r="G7" s="1" t="s">
        <v>74</v>
      </c>
      <c r="H7" s="1">
        <v>3</v>
      </c>
      <c r="I7" s="1" t="s">
        <v>14</v>
      </c>
      <c r="J7" s="1" t="s">
        <v>11</v>
      </c>
      <c r="K7" s="1" t="s">
        <v>187</v>
      </c>
      <c r="L7" s="1" t="s">
        <v>208</v>
      </c>
      <c r="M7" s="1" t="s">
        <v>209</v>
      </c>
      <c r="N7" s="1" t="s">
        <v>210</v>
      </c>
      <c r="O7" s="1" t="s">
        <v>211</v>
      </c>
      <c r="P7" s="1" t="s">
        <v>212</v>
      </c>
      <c r="Q7" s="1" t="s">
        <v>213</v>
      </c>
      <c r="R7" s="1" t="s">
        <v>176</v>
      </c>
      <c r="S7" s="1"/>
      <c r="T7" s="1"/>
      <c r="U7" s="1"/>
      <c r="V7" s="1"/>
      <c r="W7" s="1"/>
      <c r="X7" s="1"/>
      <c r="Y7" s="1"/>
      <c r="Z7" s="1"/>
    </row>
    <row r="8" spans="1:26" ht="92.1" customHeight="1">
      <c r="A8" s="1" t="s">
        <v>214</v>
      </c>
      <c r="B8" s="1" t="s">
        <v>26</v>
      </c>
      <c r="C8" s="1">
        <v>4</v>
      </c>
      <c r="D8" s="1" t="s">
        <v>215</v>
      </c>
      <c r="E8" s="1" t="s">
        <v>216</v>
      </c>
      <c r="F8" s="1" t="s">
        <v>10</v>
      </c>
      <c r="G8" s="1" t="s">
        <v>74</v>
      </c>
      <c r="H8" s="1">
        <v>3</v>
      </c>
      <c r="I8" s="1" t="s">
        <v>11</v>
      </c>
      <c r="J8" s="1" t="s">
        <v>14</v>
      </c>
      <c r="K8" s="1" t="s">
        <v>187</v>
      </c>
      <c r="L8" s="1" t="s">
        <v>217</v>
      </c>
      <c r="M8" s="1" t="s">
        <v>218</v>
      </c>
      <c r="N8" s="1" t="s">
        <v>219</v>
      </c>
      <c r="O8" s="1" t="s">
        <v>220</v>
      </c>
      <c r="P8" s="1" t="s">
        <v>221</v>
      </c>
      <c r="Q8" s="1" t="s">
        <v>222</v>
      </c>
      <c r="R8" s="1" t="s">
        <v>176</v>
      </c>
      <c r="S8" s="1"/>
      <c r="T8" s="1"/>
      <c r="U8" s="1"/>
      <c r="V8" s="1"/>
      <c r="W8" s="1"/>
      <c r="X8" s="1"/>
      <c r="Y8" s="1"/>
      <c r="Z8" s="1"/>
    </row>
    <row r="9" spans="1:26" ht="92.1" customHeight="1">
      <c r="A9" s="1" t="s">
        <v>223</v>
      </c>
      <c r="B9" s="1" t="s">
        <v>29</v>
      </c>
      <c r="C9" s="1">
        <v>1</v>
      </c>
      <c r="D9" s="1" t="s">
        <v>224</v>
      </c>
      <c r="E9" s="1" t="s">
        <v>225</v>
      </c>
      <c r="F9" s="1" t="s">
        <v>10</v>
      </c>
      <c r="G9" s="1" t="s">
        <v>74</v>
      </c>
      <c r="H9" s="1">
        <v>3</v>
      </c>
      <c r="I9" s="1" t="s">
        <v>14</v>
      </c>
      <c r="J9" s="1" t="s">
        <v>11</v>
      </c>
      <c r="K9" s="1" t="s">
        <v>226</v>
      </c>
      <c r="L9" s="1" t="s">
        <v>227</v>
      </c>
      <c r="M9" s="1" t="s">
        <v>228</v>
      </c>
      <c r="N9" s="1" t="s">
        <v>229</v>
      </c>
      <c r="O9" s="1" t="s">
        <v>230</v>
      </c>
      <c r="P9" s="1" t="s">
        <v>231</v>
      </c>
      <c r="Q9" s="1" t="s">
        <v>195</v>
      </c>
      <c r="R9" s="1" t="s">
        <v>176</v>
      </c>
      <c r="S9" s="1"/>
      <c r="T9" s="1"/>
      <c r="U9" s="1"/>
      <c r="V9" s="1"/>
      <c r="W9" s="1"/>
      <c r="X9" s="1"/>
      <c r="Y9" s="1"/>
      <c r="Z9" s="1"/>
    </row>
    <row r="10" spans="1:26" ht="92.1" customHeight="1">
      <c r="A10" s="1" t="s">
        <v>232</v>
      </c>
      <c r="B10" s="1" t="s">
        <v>29</v>
      </c>
      <c r="C10" s="1">
        <v>2</v>
      </c>
      <c r="D10" s="1" t="s">
        <v>233</v>
      </c>
      <c r="E10" s="1" t="s">
        <v>234</v>
      </c>
      <c r="F10" s="1" t="s">
        <v>10</v>
      </c>
      <c r="G10" s="1" t="s">
        <v>74</v>
      </c>
      <c r="H10" s="1">
        <v>4</v>
      </c>
      <c r="I10" s="1" t="s">
        <v>11</v>
      </c>
      <c r="J10" s="1" t="s">
        <v>14</v>
      </c>
      <c r="K10" s="1" t="s">
        <v>235</v>
      </c>
      <c r="L10" s="1" t="s">
        <v>236</v>
      </c>
      <c r="M10" s="1" t="s">
        <v>237</v>
      </c>
      <c r="N10" s="1" t="s">
        <v>238</v>
      </c>
      <c r="O10" s="1" t="s">
        <v>239</v>
      </c>
      <c r="P10" s="1" t="s">
        <v>240</v>
      </c>
      <c r="Q10" s="1" t="s">
        <v>241</v>
      </c>
      <c r="R10" s="1" t="s">
        <v>176</v>
      </c>
      <c r="S10" s="1"/>
      <c r="T10" s="1"/>
      <c r="U10" s="1"/>
      <c r="V10" s="1"/>
      <c r="W10" s="1"/>
      <c r="X10" s="1"/>
      <c r="Y10" s="1"/>
      <c r="Z10" s="1"/>
    </row>
    <row r="11" spans="1:26" ht="92.1" customHeight="1">
      <c r="A11" s="1" t="s">
        <v>242</v>
      </c>
      <c r="B11" s="1" t="s">
        <v>29</v>
      </c>
      <c r="C11" s="1">
        <v>3</v>
      </c>
      <c r="D11" s="1" t="s">
        <v>243</v>
      </c>
      <c r="E11" s="1" t="s">
        <v>244</v>
      </c>
      <c r="F11" s="1" t="s">
        <v>10</v>
      </c>
      <c r="G11" s="1" t="s">
        <v>74</v>
      </c>
      <c r="H11" s="1">
        <v>3</v>
      </c>
      <c r="I11" s="1" t="s">
        <v>14</v>
      </c>
      <c r="J11" s="1" t="s">
        <v>11</v>
      </c>
      <c r="K11" s="1" t="s">
        <v>245</v>
      </c>
      <c r="L11" s="1" t="s">
        <v>246</v>
      </c>
      <c r="M11" s="1" t="s">
        <v>247</v>
      </c>
      <c r="N11" s="1" t="s">
        <v>248</v>
      </c>
      <c r="O11" s="1" t="s">
        <v>249</v>
      </c>
      <c r="P11" s="1" t="s">
        <v>250</v>
      </c>
      <c r="Q11" s="1" t="s">
        <v>251</v>
      </c>
      <c r="R11" s="1" t="s">
        <v>176</v>
      </c>
      <c r="S11" s="1"/>
      <c r="T11" s="1"/>
      <c r="U11" s="1"/>
      <c r="V11" s="1"/>
      <c r="W11" s="1"/>
      <c r="X11" s="1"/>
      <c r="Y11" s="1"/>
      <c r="Z11" s="1"/>
    </row>
    <row r="12" spans="1:26" ht="92.1" customHeight="1">
      <c r="A12" s="1" t="s">
        <v>252</v>
      </c>
      <c r="B12" s="1" t="s">
        <v>32</v>
      </c>
      <c r="C12" s="1">
        <v>1</v>
      </c>
      <c r="D12" s="1" t="s">
        <v>253</v>
      </c>
      <c r="E12" s="1" t="s">
        <v>254</v>
      </c>
      <c r="F12" s="1" t="s">
        <v>10</v>
      </c>
      <c r="G12" s="1" t="s">
        <v>74</v>
      </c>
      <c r="H12" s="1">
        <v>3</v>
      </c>
      <c r="I12" s="1" t="s">
        <v>11</v>
      </c>
      <c r="J12" s="1" t="s">
        <v>14</v>
      </c>
      <c r="K12" s="1" t="s">
        <v>255</v>
      </c>
      <c r="L12" s="1" t="s">
        <v>256</v>
      </c>
      <c r="M12" s="1" t="s">
        <v>257</v>
      </c>
      <c r="N12" s="1" t="s">
        <v>258</v>
      </c>
      <c r="O12" s="1" t="s">
        <v>259</v>
      </c>
      <c r="P12" s="1" t="s">
        <v>260</v>
      </c>
      <c r="Q12" s="1" t="s">
        <v>261</v>
      </c>
      <c r="R12" s="1" t="s">
        <v>176</v>
      </c>
      <c r="S12" s="1"/>
      <c r="T12" s="1"/>
      <c r="U12" s="1"/>
      <c r="V12" s="1"/>
      <c r="W12" s="1"/>
      <c r="X12" s="1"/>
      <c r="Y12" s="1"/>
      <c r="Z12" s="1"/>
    </row>
    <row r="13" spans="1:26" ht="92.1" customHeight="1">
      <c r="A13" s="1" t="s">
        <v>262</v>
      </c>
      <c r="B13" s="1" t="s">
        <v>32</v>
      </c>
      <c r="C13" s="1">
        <v>2</v>
      </c>
      <c r="D13" s="1" t="s">
        <v>263</v>
      </c>
      <c r="E13" s="1" t="s">
        <v>264</v>
      </c>
      <c r="F13" s="1" t="s">
        <v>10</v>
      </c>
      <c r="G13" s="1" t="s">
        <v>74</v>
      </c>
      <c r="H13" s="1">
        <v>2</v>
      </c>
      <c r="I13" s="1" t="s">
        <v>14</v>
      </c>
      <c r="J13" s="1" t="s">
        <v>11</v>
      </c>
      <c r="K13" s="1" t="s">
        <v>265</v>
      </c>
      <c r="L13" s="1" t="s">
        <v>266</v>
      </c>
      <c r="M13" s="1" t="s">
        <v>267</v>
      </c>
      <c r="N13" s="1" t="s">
        <v>268</v>
      </c>
      <c r="O13" s="1" t="s">
        <v>269</v>
      </c>
      <c r="P13" s="1" t="s">
        <v>270</v>
      </c>
      <c r="Q13" s="1" t="s">
        <v>271</v>
      </c>
      <c r="R13" s="1" t="s">
        <v>176</v>
      </c>
      <c r="S13" s="1"/>
      <c r="T13" s="1"/>
      <c r="U13" s="1"/>
      <c r="V13" s="1"/>
      <c r="W13" s="1"/>
      <c r="X13" s="1"/>
      <c r="Y13" s="1"/>
      <c r="Z13" s="1"/>
    </row>
    <row r="14" spans="1:26" ht="92.1" customHeight="1">
      <c r="A14" s="1" t="s">
        <v>272</v>
      </c>
      <c r="B14" s="1" t="s">
        <v>35</v>
      </c>
      <c r="C14" s="1">
        <v>1</v>
      </c>
      <c r="D14" s="1" t="s">
        <v>273</v>
      </c>
      <c r="E14" s="1" t="s">
        <v>274</v>
      </c>
      <c r="F14" s="1" t="s">
        <v>10</v>
      </c>
      <c r="G14" s="1" t="s">
        <v>74</v>
      </c>
      <c r="H14" s="1">
        <v>4</v>
      </c>
      <c r="I14" s="1" t="s">
        <v>14</v>
      </c>
      <c r="J14" s="1" t="s">
        <v>11</v>
      </c>
      <c r="K14" s="1" t="s">
        <v>275</v>
      </c>
      <c r="L14" s="1" t="s">
        <v>276</v>
      </c>
      <c r="M14" s="1" t="s">
        <v>277</v>
      </c>
      <c r="N14" s="1" t="s">
        <v>278</v>
      </c>
      <c r="O14" s="1" t="s">
        <v>279</v>
      </c>
      <c r="P14" s="1" t="s">
        <v>280</v>
      </c>
      <c r="Q14" s="1" t="s">
        <v>281</v>
      </c>
      <c r="R14" s="1" t="s">
        <v>176</v>
      </c>
      <c r="S14" s="1"/>
      <c r="T14" s="1"/>
      <c r="U14" s="1"/>
      <c r="V14" s="1"/>
      <c r="W14" s="1"/>
      <c r="X14" s="1"/>
      <c r="Y14" s="1"/>
      <c r="Z14" s="1"/>
    </row>
    <row r="15" spans="1:26" ht="92.1" customHeight="1">
      <c r="A15" s="1" t="s">
        <v>282</v>
      </c>
      <c r="B15" s="1" t="s">
        <v>35</v>
      </c>
      <c r="C15" s="1">
        <v>2</v>
      </c>
      <c r="D15" s="1" t="s">
        <v>283</v>
      </c>
      <c r="E15" s="1" t="s">
        <v>284</v>
      </c>
      <c r="F15" s="1" t="s">
        <v>10</v>
      </c>
      <c r="G15" s="1" t="s">
        <v>74</v>
      </c>
      <c r="H15" s="1">
        <v>4</v>
      </c>
      <c r="I15" s="1" t="s">
        <v>11</v>
      </c>
      <c r="J15" s="1" t="s">
        <v>14</v>
      </c>
      <c r="K15" s="1" t="s">
        <v>285</v>
      </c>
      <c r="L15" s="1" t="s">
        <v>286</v>
      </c>
      <c r="M15" s="1" t="s">
        <v>287</v>
      </c>
      <c r="N15" s="1" t="s">
        <v>288</v>
      </c>
      <c r="O15" s="1" t="s">
        <v>289</v>
      </c>
      <c r="P15" s="1" t="s">
        <v>290</v>
      </c>
      <c r="Q15" s="1" t="s">
        <v>195</v>
      </c>
      <c r="R15" s="1" t="s">
        <v>176</v>
      </c>
      <c r="S15" s="1"/>
      <c r="T15" s="1"/>
      <c r="U15" s="1"/>
      <c r="V15" s="1"/>
      <c r="W15" s="1"/>
      <c r="X15" s="1"/>
      <c r="Y15" s="1"/>
      <c r="Z15" s="1"/>
    </row>
    <row r="16" spans="1:26" ht="92.1" customHeight="1">
      <c r="A16" s="1" t="s">
        <v>291</v>
      </c>
      <c r="B16" s="1" t="s">
        <v>38</v>
      </c>
      <c r="C16" s="1">
        <v>1</v>
      </c>
      <c r="D16" s="1" t="s">
        <v>292</v>
      </c>
      <c r="E16" s="1" t="s">
        <v>293</v>
      </c>
      <c r="F16" s="1" t="s">
        <v>10</v>
      </c>
      <c r="G16" s="1" t="s">
        <v>74</v>
      </c>
      <c r="H16" s="1">
        <v>5</v>
      </c>
      <c r="I16" s="1" t="s">
        <v>14</v>
      </c>
      <c r="J16" s="1" t="s">
        <v>11</v>
      </c>
      <c r="K16" s="1" t="s">
        <v>272</v>
      </c>
      <c r="L16" s="1" t="s">
        <v>294</v>
      </c>
      <c r="M16" s="1" t="s">
        <v>295</v>
      </c>
      <c r="N16" s="1" t="s">
        <v>296</v>
      </c>
      <c r="O16" s="1" t="s">
        <v>297</v>
      </c>
      <c r="P16" s="1" t="s">
        <v>298</v>
      </c>
      <c r="Q16" s="1" t="s">
        <v>299</v>
      </c>
      <c r="R16" s="1" t="s">
        <v>176</v>
      </c>
      <c r="S16" s="1"/>
      <c r="T16" s="1"/>
      <c r="U16" s="1"/>
      <c r="V16" s="1"/>
      <c r="W16" s="1"/>
      <c r="X16" s="1"/>
      <c r="Y16" s="1"/>
      <c r="Z16" s="1"/>
    </row>
    <row r="17" spans="1:26" ht="92.1" customHeight="1">
      <c r="A17" s="1" t="s">
        <v>300</v>
      </c>
      <c r="B17" s="1" t="s">
        <v>38</v>
      </c>
      <c r="C17" s="1">
        <v>2</v>
      </c>
      <c r="D17" s="1" t="s">
        <v>301</v>
      </c>
      <c r="E17" s="1" t="s">
        <v>302</v>
      </c>
      <c r="F17" s="1" t="s">
        <v>10</v>
      </c>
      <c r="G17" s="1" t="s">
        <v>74</v>
      </c>
      <c r="H17" s="1">
        <v>3</v>
      </c>
      <c r="I17" s="1" t="s">
        <v>11</v>
      </c>
      <c r="J17" s="1" t="s">
        <v>14</v>
      </c>
      <c r="K17" s="1" t="s">
        <v>303</v>
      </c>
      <c r="L17" s="1" t="s">
        <v>304</v>
      </c>
      <c r="M17" s="1" t="s">
        <v>305</v>
      </c>
      <c r="N17" s="1" t="s">
        <v>306</v>
      </c>
      <c r="O17" s="1" t="s">
        <v>307</v>
      </c>
      <c r="P17" s="1" t="s">
        <v>308</v>
      </c>
      <c r="Q17" s="1" t="s">
        <v>309</v>
      </c>
      <c r="R17" s="1" t="s">
        <v>176</v>
      </c>
      <c r="S17" s="1"/>
      <c r="T17" s="1"/>
      <c r="U17" s="1"/>
      <c r="V17" s="1"/>
      <c r="W17" s="1"/>
      <c r="X17" s="1"/>
      <c r="Y17" s="1"/>
      <c r="Z17" s="1"/>
    </row>
    <row r="18" spans="1:26" ht="92.1" customHeight="1">
      <c r="A18" s="1" t="s">
        <v>310</v>
      </c>
      <c r="B18" s="1" t="s">
        <v>41</v>
      </c>
      <c r="C18" s="1">
        <v>1</v>
      </c>
      <c r="D18" s="1" t="s">
        <v>311</v>
      </c>
      <c r="E18" s="1" t="s">
        <v>312</v>
      </c>
      <c r="F18" s="1" t="s">
        <v>10</v>
      </c>
      <c r="G18" s="1" t="s">
        <v>74</v>
      </c>
      <c r="H18" s="1">
        <v>5</v>
      </c>
      <c r="I18" s="1" t="s">
        <v>14</v>
      </c>
      <c r="J18" s="1" t="s">
        <v>11</v>
      </c>
      <c r="K18" s="1" t="s">
        <v>313</v>
      </c>
      <c r="L18" s="1" t="s">
        <v>314</v>
      </c>
      <c r="M18" s="1" t="s">
        <v>315</v>
      </c>
      <c r="N18" s="1" t="s">
        <v>316</v>
      </c>
      <c r="O18" s="1" t="s">
        <v>317</v>
      </c>
      <c r="P18" s="1" t="s">
        <v>318</v>
      </c>
      <c r="Q18" s="1" t="s">
        <v>319</v>
      </c>
      <c r="R18" s="1" t="s">
        <v>176</v>
      </c>
      <c r="S18" s="1"/>
      <c r="T18" s="1"/>
      <c r="U18" s="1"/>
      <c r="V18" s="1"/>
      <c r="W18" s="1"/>
      <c r="X18" s="1"/>
      <c r="Y18" s="1"/>
      <c r="Z18" s="1"/>
    </row>
    <row r="19" spans="1:26" ht="92.1" customHeight="1">
      <c r="A19" s="1" t="s">
        <v>320</v>
      </c>
      <c r="B19" s="1" t="s">
        <v>41</v>
      </c>
      <c r="C19" s="1">
        <v>2</v>
      </c>
      <c r="D19" s="1" t="s">
        <v>321</v>
      </c>
      <c r="E19" s="1" t="s">
        <v>322</v>
      </c>
      <c r="F19" s="1" t="s">
        <v>10</v>
      </c>
      <c r="G19" s="1" t="s">
        <v>74</v>
      </c>
      <c r="H19" s="1">
        <v>5</v>
      </c>
      <c r="I19" s="1" t="s">
        <v>11</v>
      </c>
      <c r="J19" s="1" t="s">
        <v>14</v>
      </c>
      <c r="K19" s="1" t="s">
        <v>323</v>
      </c>
      <c r="L19" s="1" t="s">
        <v>324</v>
      </c>
      <c r="M19" s="1" t="s">
        <v>325</v>
      </c>
      <c r="N19" s="1" t="s">
        <v>326</v>
      </c>
      <c r="O19" s="1" t="s">
        <v>327</v>
      </c>
      <c r="P19" s="1" t="s">
        <v>328</v>
      </c>
      <c r="Q19" s="1" t="s">
        <v>329</v>
      </c>
      <c r="R19" s="1" t="s">
        <v>176</v>
      </c>
      <c r="S19" s="1"/>
      <c r="T19" s="1"/>
      <c r="U19" s="1"/>
      <c r="V19" s="1"/>
      <c r="W19" s="1"/>
      <c r="X19" s="1"/>
      <c r="Y19" s="1"/>
      <c r="Z19" s="1"/>
    </row>
    <row r="20" spans="1:26" ht="92.1" customHeight="1">
      <c r="A20" s="1" t="s">
        <v>330</v>
      </c>
      <c r="B20" s="1" t="s">
        <v>44</v>
      </c>
      <c r="C20" s="1">
        <v>1</v>
      </c>
      <c r="D20" s="1" t="s">
        <v>331</v>
      </c>
      <c r="E20" s="1" t="s">
        <v>332</v>
      </c>
      <c r="F20" s="1" t="s">
        <v>10</v>
      </c>
      <c r="G20" s="1" t="s">
        <v>74</v>
      </c>
      <c r="H20" s="1">
        <v>5</v>
      </c>
      <c r="I20" s="1" t="s">
        <v>14</v>
      </c>
      <c r="J20" s="1" t="s">
        <v>11</v>
      </c>
      <c r="K20" s="1" t="s">
        <v>333</v>
      </c>
      <c r="L20" s="1" t="s">
        <v>334</v>
      </c>
      <c r="M20" s="1" t="s">
        <v>335</v>
      </c>
      <c r="N20" s="1" t="s">
        <v>336</v>
      </c>
      <c r="O20" s="1" t="s">
        <v>337</v>
      </c>
      <c r="P20" s="1" t="s">
        <v>338</v>
      </c>
      <c r="Q20" s="1" t="s">
        <v>339</v>
      </c>
      <c r="R20" s="1" t="s">
        <v>176</v>
      </c>
      <c r="S20" s="1"/>
      <c r="T20" s="1"/>
      <c r="U20" s="1"/>
      <c r="V20" s="1"/>
      <c r="W20" s="1"/>
      <c r="X20" s="1"/>
      <c r="Y20" s="1"/>
      <c r="Z20" s="1"/>
    </row>
    <row r="21" spans="1:26" ht="92.1" customHeight="1">
      <c r="A21" s="1" t="s">
        <v>340</v>
      </c>
      <c r="B21" s="1" t="s">
        <v>44</v>
      </c>
      <c r="C21" s="1">
        <v>2</v>
      </c>
      <c r="D21" s="1" t="s">
        <v>341</v>
      </c>
      <c r="E21" s="1" t="s">
        <v>342</v>
      </c>
      <c r="F21" s="1" t="s">
        <v>10</v>
      </c>
      <c r="G21" s="1" t="s">
        <v>74</v>
      </c>
      <c r="H21" s="1">
        <v>4</v>
      </c>
      <c r="I21" s="1" t="s">
        <v>11</v>
      </c>
      <c r="J21" s="1" t="s">
        <v>14</v>
      </c>
      <c r="K21" s="1" t="s">
        <v>343</v>
      </c>
      <c r="L21" s="1" t="s">
        <v>344</v>
      </c>
      <c r="M21" s="1" t="s">
        <v>345</v>
      </c>
      <c r="N21" s="1" t="s">
        <v>346</v>
      </c>
      <c r="O21" s="1" t="s">
        <v>347</v>
      </c>
      <c r="P21" s="1" t="s">
        <v>348</v>
      </c>
      <c r="Q21" s="1" t="s">
        <v>349</v>
      </c>
      <c r="R21" s="1" t="s">
        <v>176</v>
      </c>
      <c r="S21" s="1"/>
      <c r="T21" s="1"/>
      <c r="U21" s="1"/>
      <c r="V21" s="1"/>
      <c r="W21" s="1"/>
      <c r="X21" s="1"/>
      <c r="Y21" s="1"/>
      <c r="Z21" s="1"/>
    </row>
    <row r="22" spans="1:26" ht="92.1" customHeight="1">
      <c r="A22" s="1" t="s">
        <v>350</v>
      </c>
      <c r="B22" s="1" t="s">
        <v>44</v>
      </c>
      <c r="C22" s="1">
        <v>3</v>
      </c>
      <c r="D22" s="1" t="s">
        <v>351</v>
      </c>
      <c r="E22" s="1" t="s">
        <v>352</v>
      </c>
      <c r="F22" s="1" t="s">
        <v>10</v>
      </c>
      <c r="G22" s="1" t="s">
        <v>74</v>
      </c>
      <c r="H22" s="1">
        <v>5</v>
      </c>
      <c r="I22" s="1" t="s">
        <v>14</v>
      </c>
      <c r="J22" s="1" t="s">
        <v>11</v>
      </c>
      <c r="K22" s="1" t="s">
        <v>353</v>
      </c>
      <c r="L22" s="1" t="s">
        <v>354</v>
      </c>
      <c r="M22" s="1" t="s">
        <v>355</v>
      </c>
      <c r="N22" s="1" t="s">
        <v>356</v>
      </c>
      <c r="O22" s="1" t="s">
        <v>357</v>
      </c>
      <c r="P22" s="1" t="s">
        <v>358</v>
      </c>
      <c r="Q22" s="1" t="s">
        <v>359</v>
      </c>
      <c r="R22" s="1" t="s">
        <v>176</v>
      </c>
      <c r="S22" s="1"/>
      <c r="T22" s="1"/>
      <c r="U22" s="1"/>
      <c r="V22" s="1"/>
      <c r="W22" s="1"/>
      <c r="X22" s="1"/>
      <c r="Y22" s="1"/>
      <c r="Z22" s="1"/>
    </row>
    <row r="23" spans="1:26" ht="92.1" customHeight="1">
      <c r="A23" s="1" t="s">
        <v>360</v>
      </c>
      <c r="B23" s="1" t="s">
        <v>47</v>
      </c>
      <c r="C23" s="1">
        <v>1</v>
      </c>
      <c r="D23" s="1" t="s">
        <v>361</v>
      </c>
      <c r="E23" s="1" t="s">
        <v>362</v>
      </c>
      <c r="F23" s="1" t="s">
        <v>10</v>
      </c>
      <c r="G23" s="1" t="s">
        <v>74</v>
      </c>
      <c r="H23" s="1">
        <v>5</v>
      </c>
      <c r="I23" s="1" t="s">
        <v>11</v>
      </c>
      <c r="J23" s="1" t="s">
        <v>14</v>
      </c>
      <c r="K23" s="1" t="s">
        <v>363</v>
      </c>
      <c r="L23" s="1" t="s">
        <v>364</v>
      </c>
      <c r="M23" s="1" t="s">
        <v>365</v>
      </c>
      <c r="N23" s="1" t="s">
        <v>366</v>
      </c>
      <c r="O23" s="1" t="s">
        <v>367</v>
      </c>
      <c r="P23" s="1" t="s">
        <v>368</v>
      </c>
      <c r="Q23" s="1" t="s">
        <v>369</v>
      </c>
      <c r="R23" s="1" t="s">
        <v>176</v>
      </c>
      <c r="S23" s="1"/>
      <c r="T23" s="1"/>
      <c r="U23" s="1"/>
      <c r="V23" s="1"/>
      <c r="W23" s="1"/>
      <c r="X23" s="1"/>
      <c r="Y23" s="1"/>
      <c r="Z23" s="1"/>
    </row>
    <row r="24" spans="1:26" ht="92.1" customHeight="1">
      <c r="A24" s="1" t="s">
        <v>370</v>
      </c>
      <c r="B24" s="1" t="s">
        <v>47</v>
      </c>
      <c r="C24" s="1">
        <v>2</v>
      </c>
      <c r="D24" s="1" t="s">
        <v>371</v>
      </c>
      <c r="E24" s="1" t="s">
        <v>372</v>
      </c>
      <c r="F24" s="1" t="s">
        <v>10</v>
      </c>
      <c r="G24" s="1" t="s">
        <v>74</v>
      </c>
      <c r="H24" s="1">
        <v>2</v>
      </c>
      <c r="I24" s="1" t="s">
        <v>14</v>
      </c>
      <c r="J24" s="1" t="s">
        <v>11</v>
      </c>
      <c r="K24" s="1" t="s">
        <v>373</v>
      </c>
      <c r="L24" s="1" t="s">
        <v>266</v>
      </c>
      <c r="M24" s="1" t="s">
        <v>374</v>
      </c>
      <c r="N24" s="1" t="s">
        <v>375</v>
      </c>
      <c r="O24" s="1" t="s">
        <v>376</v>
      </c>
      <c r="P24" s="1" t="s">
        <v>377</v>
      </c>
      <c r="Q24" s="1" t="s">
        <v>378</v>
      </c>
      <c r="R24" s="1" t="s">
        <v>176</v>
      </c>
      <c r="S24" s="1"/>
      <c r="T24" s="1"/>
      <c r="U24" s="1"/>
      <c r="V24" s="1"/>
      <c r="W24" s="1"/>
      <c r="X24" s="1"/>
      <c r="Y24" s="1"/>
      <c r="Z24" s="1"/>
    </row>
    <row r="25" spans="1:26" ht="92.1" customHeight="1">
      <c r="A25" s="1" t="s">
        <v>379</v>
      </c>
      <c r="B25" s="1" t="s">
        <v>49</v>
      </c>
      <c r="C25" s="1">
        <v>1</v>
      </c>
      <c r="D25" s="1" t="s">
        <v>380</v>
      </c>
      <c r="E25" s="1" t="s">
        <v>381</v>
      </c>
      <c r="F25" s="1" t="s">
        <v>13</v>
      </c>
      <c r="G25" s="1" t="s">
        <v>125</v>
      </c>
      <c r="H25" s="1">
        <v>5</v>
      </c>
      <c r="I25" s="1" t="s">
        <v>11</v>
      </c>
      <c r="J25" s="1" t="s">
        <v>14</v>
      </c>
      <c r="K25" s="1" t="s">
        <v>382</v>
      </c>
      <c r="L25" s="1" t="s">
        <v>383</v>
      </c>
      <c r="M25" s="1" t="s">
        <v>384</v>
      </c>
      <c r="N25" s="1" t="s">
        <v>385</v>
      </c>
      <c r="O25" s="1" t="s">
        <v>386</v>
      </c>
      <c r="P25" s="1" t="s">
        <v>387</v>
      </c>
      <c r="Q25" s="1"/>
      <c r="R25" s="1" t="s">
        <v>176</v>
      </c>
      <c r="S25" s="1"/>
      <c r="T25" s="1"/>
      <c r="U25" s="1"/>
      <c r="V25" s="1"/>
      <c r="W25" s="1"/>
      <c r="X25" s="1"/>
      <c r="Y25" s="1"/>
      <c r="Z25" s="1"/>
    </row>
    <row r="26" spans="1:26" ht="92.1" customHeight="1">
      <c r="A26" s="1" t="s">
        <v>388</v>
      </c>
      <c r="B26" s="1" t="s">
        <v>49</v>
      </c>
      <c r="C26" s="1">
        <v>2</v>
      </c>
      <c r="D26" s="1" t="s">
        <v>389</v>
      </c>
      <c r="E26" s="1" t="s">
        <v>390</v>
      </c>
      <c r="F26" s="1" t="s">
        <v>13</v>
      </c>
      <c r="G26" s="1" t="s">
        <v>125</v>
      </c>
      <c r="H26" s="1">
        <v>5</v>
      </c>
      <c r="I26" s="1" t="s">
        <v>14</v>
      </c>
      <c r="J26" s="1" t="s">
        <v>11</v>
      </c>
      <c r="K26" s="1" t="s">
        <v>391</v>
      </c>
      <c r="L26" s="1" t="s">
        <v>392</v>
      </c>
      <c r="M26" s="1" t="s">
        <v>393</v>
      </c>
      <c r="N26" s="1" t="s">
        <v>394</v>
      </c>
      <c r="O26" s="1" t="s">
        <v>395</v>
      </c>
      <c r="P26" s="1" t="s">
        <v>396</v>
      </c>
      <c r="Q26" s="1"/>
      <c r="R26" s="1" t="s">
        <v>176</v>
      </c>
      <c r="S26" s="1"/>
      <c r="T26" s="1"/>
      <c r="U26" s="1"/>
      <c r="V26" s="1"/>
      <c r="W26" s="1"/>
      <c r="X26" s="1"/>
      <c r="Y26" s="1"/>
      <c r="Z26" s="1"/>
    </row>
    <row r="27" spans="1:26" ht="92.1" customHeight="1">
      <c r="A27" s="1" t="s">
        <v>397</v>
      </c>
      <c r="B27" s="1" t="s">
        <v>49</v>
      </c>
      <c r="C27" s="1">
        <v>3</v>
      </c>
      <c r="D27" s="1" t="s">
        <v>398</v>
      </c>
      <c r="E27" s="1" t="s">
        <v>399</v>
      </c>
      <c r="F27" s="1" t="s">
        <v>13</v>
      </c>
      <c r="G27" s="1" t="s">
        <v>125</v>
      </c>
      <c r="H27" s="1">
        <v>4</v>
      </c>
      <c r="I27" s="1" t="s">
        <v>11</v>
      </c>
      <c r="J27" s="1" t="s">
        <v>14</v>
      </c>
      <c r="K27" s="1" t="s">
        <v>400</v>
      </c>
      <c r="L27" s="1" t="s">
        <v>401</v>
      </c>
      <c r="M27" s="1" t="s">
        <v>402</v>
      </c>
      <c r="N27" s="1" t="s">
        <v>403</v>
      </c>
      <c r="O27" s="1" t="s">
        <v>404</v>
      </c>
      <c r="P27" s="1" t="s">
        <v>405</v>
      </c>
      <c r="Q27" s="1"/>
      <c r="R27" s="1" t="s">
        <v>176</v>
      </c>
      <c r="S27" s="1"/>
      <c r="T27" s="1"/>
      <c r="U27" s="1"/>
      <c r="V27" s="1"/>
      <c r="W27" s="1"/>
      <c r="X27" s="1"/>
      <c r="Y27" s="1"/>
      <c r="Z27" s="1"/>
    </row>
    <row r="28" spans="1:26" ht="92.1" customHeight="1">
      <c r="A28" s="1" t="s">
        <v>406</v>
      </c>
      <c r="B28" s="1" t="s">
        <v>51</v>
      </c>
      <c r="C28" s="1">
        <v>1</v>
      </c>
      <c r="D28" s="1" t="s">
        <v>407</v>
      </c>
      <c r="E28" s="1" t="s">
        <v>408</v>
      </c>
      <c r="F28" s="1" t="s">
        <v>16</v>
      </c>
      <c r="G28" s="1" t="s">
        <v>125</v>
      </c>
      <c r="H28" s="1">
        <v>4</v>
      </c>
      <c r="I28" s="1" t="s">
        <v>14</v>
      </c>
      <c r="J28" s="1" t="s">
        <v>11</v>
      </c>
      <c r="K28" s="1" t="s">
        <v>409</v>
      </c>
      <c r="L28" s="1" t="s">
        <v>410</v>
      </c>
      <c r="M28" s="1" t="s">
        <v>411</v>
      </c>
      <c r="N28" s="1" t="s">
        <v>412</v>
      </c>
      <c r="O28" s="1" t="s">
        <v>413</v>
      </c>
      <c r="P28" s="1" t="s">
        <v>414</v>
      </c>
      <c r="Q28" s="1"/>
      <c r="R28" s="1" t="s">
        <v>176</v>
      </c>
      <c r="S28" s="1"/>
      <c r="T28" s="1"/>
      <c r="U28" s="1"/>
      <c r="V28" s="1"/>
      <c r="W28" s="1"/>
      <c r="X28" s="1"/>
      <c r="Y28" s="1"/>
      <c r="Z28" s="1"/>
    </row>
    <row r="29" spans="1:26" ht="92.1" customHeight="1">
      <c r="A29" s="1" t="s">
        <v>415</v>
      </c>
      <c r="B29" s="1" t="s">
        <v>51</v>
      </c>
      <c r="C29" s="1">
        <v>2</v>
      </c>
      <c r="D29" s="1" t="s">
        <v>416</v>
      </c>
      <c r="E29" s="1" t="s">
        <v>417</v>
      </c>
      <c r="F29" s="1" t="s">
        <v>16</v>
      </c>
      <c r="G29" s="1" t="s">
        <v>125</v>
      </c>
      <c r="H29" s="1">
        <v>4</v>
      </c>
      <c r="I29" s="1" t="s">
        <v>11</v>
      </c>
      <c r="J29" s="1" t="s">
        <v>14</v>
      </c>
      <c r="K29" s="1" t="s">
        <v>418</v>
      </c>
      <c r="L29" s="1" t="s">
        <v>419</v>
      </c>
      <c r="M29" s="1" t="s">
        <v>420</v>
      </c>
      <c r="N29" s="1" t="s">
        <v>421</v>
      </c>
      <c r="O29" s="1" t="s">
        <v>422</v>
      </c>
      <c r="P29" s="1" t="s">
        <v>423</v>
      </c>
      <c r="Q29" s="1"/>
      <c r="R29" s="1" t="s">
        <v>176</v>
      </c>
      <c r="S29" s="1"/>
      <c r="T29" s="1"/>
      <c r="U29" s="1"/>
      <c r="V29" s="1"/>
      <c r="W29" s="1"/>
      <c r="X29" s="1"/>
      <c r="Y29" s="1"/>
      <c r="Z29" s="1"/>
    </row>
    <row r="30" spans="1:26" ht="92.1" customHeight="1">
      <c r="A30" s="1" t="s">
        <v>424</v>
      </c>
      <c r="B30" s="1" t="s">
        <v>53</v>
      </c>
      <c r="C30" s="1">
        <v>1</v>
      </c>
      <c r="D30" s="1" t="s">
        <v>425</v>
      </c>
      <c r="E30" s="1" t="s">
        <v>426</v>
      </c>
      <c r="F30" s="1" t="s">
        <v>16</v>
      </c>
      <c r="G30" s="1" t="s">
        <v>125</v>
      </c>
      <c r="H30" s="1">
        <v>5</v>
      </c>
      <c r="I30" s="1" t="s">
        <v>14</v>
      </c>
      <c r="J30" s="1" t="s">
        <v>11</v>
      </c>
      <c r="K30" s="1" t="s">
        <v>427</v>
      </c>
      <c r="L30" s="1" t="s">
        <v>428</v>
      </c>
      <c r="M30" s="1" t="s">
        <v>429</v>
      </c>
      <c r="N30" s="1" t="s">
        <v>430</v>
      </c>
      <c r="O30" s="1" t="s">
        <v>431</v>
      </c>
      <c r="P30" s="1" t="s">
        <v>432</v>
      </c>
      <c r="Q30" s="1" t="s">
        <v>433</v>
      </c>
      <c r="R30" s="1" t="s">
        <v>176</v>
      </c>
      <c r="S30" s="1"/>
      <c r="T30" s="1"/>
      <c r="U30" s="1"/>
      <c r="V30" s="1"/>
      <c r="W30" s="1"/>
      <c r="X30" s="1"/>
      <c r="Y30" s="1"/>
      <c r="Z30" s="1"/>
    </row>
    <row r="31" spans="1:26" ht="92.1" customHeight="1">
      <c r="A31" s="1" t="s">
        <v>434</v>
      </c>
      <c r="B31" s="1" t="s">
        <v>53</v>
      </c>
      <c r="C31" s="1">
        <v>2</v>
      </c>
      <c r="D31" s="1" t="s">
        <v>435</v>
      </c>
      <c r="E31" s="1" t="s">
        <v>436</v>
      </c>
      <c r="F31" s="1" t="s">
        <v>16</v>
      </c>
      <c r="G31" s="1" t="s">
        <v>125</v>
      </c>
      <c r="H31" s="1">
        <v>5</v>
      </c>
      <c r="I31" s="1" t="s">
        <v>11</v>
      </c>
      <c r="J31" s="1" t="s">
        <v>14</v>
      </c>
      <c r="K31" s="1" t="s">
        <v>437</v>
      </c>
      <c r="L31" s="1" t="s">
        <v>438</v>
      </c>
      <c r="M31" s="1" t="s">
        <v>439</v>
      </c>
      <c r="N31" s="1" t="s">
        <v>440</v>
      </c>
      <c r="O31" s="1" t="s">
        <v>441</v>
      </c>
      <c r="P31" s="1" t="s">
        <v>442</v>
      </c>
      <c r="Q31" s="1" t="s">
        <v>433</v>
      </c>
      <c r="R31" s="1" t="s">
        <v>176</v>
      </c>
      <c r="S31" s="1"/>
      <c r="T31" s="1"/>
      <c r="U31" s="1"/>
      <c r="V31" s="1"/>
      <c r="W31" s="1"/>
      <c r="X31" s="1"/>
      <c r="Y31" s="1"/>
      <c r="Z31" s="1"/>
    </row>
    <row r="32" spans="1:26" ht="92.1" customHeight="1">
      <c r="A32" s="1" t="s">
        <v>443</v>
      </c>
      <c r="B32" s="1" t="s">
        <v>55</v>
      </c>
      <c r="C32" s="1">
        <v>1</v>
      </c>
      <c r="D32" s="1" t="s">
        <v>444</v>
      </c>
      <c r="E32" s="1" t="s">
        <v>445</v>
      </c>
      <c r="F32" s="1" t="s">
        <v>10</v>
      </c>
      <c r="G32" s="1" t="s">
        <v>74</v>
      </c>
      <c r="H32" s="1">
        <v>5</v>
      </c>
      <c r="I32" s="1" t="s">
        <v>14</v>
      </c>
      <c r="J32" s="1" t="s">
        <v>11</v>
      </c>
      <c r="K32" s="1" t="s">
        <v>446</v>
      </c>
      <c r="L32" s="1" t="s">
        <v>447</v>
      </c>
      <c r="M32" s="1" t="s">
        <v>448</v>
      </c>
      <c r="N32" s="1" t="s">
        <v>449</v>
      </c>
      <c r="O32" s="1" t="s">
        <v>450</v>
      </c>
      <c r="P32" s="1" t="s">
        <v>451</v>
      </c>
      <c r="Q32" s="1" t="s">
        <v>452</v>
      </c>
      <c r="R32" s="1" t="s">
        <v>176</v>
      </c>
      <c r="S32" s="1"/>
      <c r="T32" s="1"/>
      <c r="U32" s="1"/>
      <c r="V32" s="1"/>
      <c r="W32" s="1"/>
      <c r="X32" s="1"/>
      <c r="Y32" s="1"/>
      <c r="Z32" s="1"/>
    </row>
    <row r="33" spans="1:26" ht="99.75">
      <c r="A33" s="1" t="s">
        <v>453</v>
      </c>
      <c r="B33" s="1" t="s">
        <v>55</v>
      </c>
      <c r="C33" s="1">
        <v>2</v>
      </c>
      <c r="D33" s="1" t="s">
        <v>454</v>
      </c>
      <c r="E33" s="1" t="s">
        <v>455</v>
      </c>
      <c r="F33" s="1" t="s">
        <v>10</v>
      </c>
      <c r="G33" s="1" t="s">
        <v>74</v>
      </c>
      <c r="H33" s="1">
        <v>3</v>
      </c>
      <c r="I33" s="1" t="s">
        <v>11</v>
      </c>
      <c r="J33" s="1" t="s">
        <v>14</v>
      </c>
      <c r="K33" s="1" t="s">
        <v>456</v>
      </c>
      <c r="L33" s="1" t="s">
        <v>457</v>
      </c>
      <c r="M33" s="1" t="s">
        <v>458</v>
      </c>
      <c r="N33" s="1" t="s">
        <v>459</v>
      </c>
      <c r="O33" s="1" t="s">
        <v>460</v>
      </c>
      <c r="P33" s="1" t="s">
        <v>461</v>
      </c>
      <c r="Q33" s="1" t="s">
        <v>462</v>
      </c>
      <c r="R33" s="1" t="s">
        <v>176</v>
      </c>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conditionalFormatting sqref="F2:F32">
    <cfRule type="expression" dxfId="9" priority="7">
      <formula>F2="Mandatory"</formula>
    </cfRule>
    <cfRule type="expression" dxfId="8" priority="8">
      <formula>F2="Committed Optional"</formula>
    </cfRule>
    <cfRule type="expression" dxfId="7" priority="9">
      <formula>F2="Target Optional"</formula>
    </cfRule>
  </conditionalFormatting>
  <conditionalFormatting sqref="G2:G32">
    <cfRule type="expression" dxfId="6" priority="1">
      <formula>G2="P0"</formula>
    </cfRule>
    <cfRule type="expression" dxfId="5" priority="2">
      <formula>G2="P1"</formula>
    </cfRule>
  </conditionalFormatting>
  <conditionalFormatting sqref="H2:H32">
    <cfRule type="colorScale" priority="3">
      <colorScale>
        <cfvo type="min"/>
        <cfvo type="percentile" val="50"/>
        <cfvo type="max"/>
        <color rgb="FFE2F0D9"/>
        <color rgb="FFFFE699"/>
        <color rgb="FFF4CCCC"/>
      </colorScale>
    </cfRule>
  </conditionalFormatting>
  <conditionalFormatting sqref="R2:R32">
    <cfRule type="expression" dxfId="4" priority="4">
      <formula>R2="Ready"</formula>
    </cfRule>
    <cfRule type="expression" dxfId="3" priority="5">
      <formula>R2="Blocked"</formula>
    </cfRule>
    <cfRule type="expression" dxfId="2" priority="6">
      <formula>R2="Done"</formula>
    </cfRule>
  </conditionalFormatting>
  <dataValidations count="5">
    <dataValidation type="list" sqref="F2:F200" xr:uid="{00000000-0002-0000-0200-000000000000}">
      <formula1>"Mandatory,Committed Optional,Target Optional"</formula1>
    </dataValidation>
    <dataValidation type="list" sqref="G2:G200" xr:uid="{00000000-0002-0000-0200-000001000000}">
      <formula1>"P0,P1,P2"</formula1>
    </dataValidation>
    <dataValidation type="list" sqref="H2:H200" xr:uid="{00000000-0002-0000-0200-000002000000}">
      <formula1>"1,2,3,4,5"</formula1>
    </dataValidation>
    <dataValidation type="list" sqref="I2:J200" xr:uid="{00000000-0002-0000-0200-000003000000}">
      <formula1>"Miguel Alves,Martim Gomes"</formula1>
    </dataValidation>
    <dataValidation type="list" sqref="R2:R200" xr:uid="{00000000-0002-0000-0200-000005000000}">
      <formula1>"Backlog,Ready,In Progress,Review,Blocked,Done,Deferred,Cut"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0"/>
  <sheetViews>
    <sheetView workbookViewId="0"/>
  </sheetViews>
  <sheetFormatPr defaultRowHeight="14.25"/>
  <cols>
    <col min="1" max="2" width="14" customWidth="1"/>
    <col min="3" max="3" width="20" customWidth="1"/>
    <col min="4" max="4" width="48" customWidth="1"/>
    <col min="5" max="6" width="12" customWidth="1"/>
    <col min="7" max="7" width="20" customWidth="1"/>
    <col min="8" max="8" width="54" customWidth="1"/>
    <col min="9" max="9" width="34" customWidth="1"/>
    <col min="10" max="10" width="12" customWidth="1"/>
  </cols>
  <sheetData>
    <row r="1" spans="1:26" ht="15">
      <c r="A1" s="2" t="s">
        <v>463</v>
      </c>
      <c r="B1" s="2" t="s">
        <v>464</v>
      </c>
      <c r="C1" s="2" t="s">
        <v>465</v>
      </c>
      <c r="D1" s="2" t="s">
        <v>466</v>
      </c>
      <c r="E1" s="2" t="s">
        <v>61</v>
      </c>
      <c r="F1" s="2" t="s">
        <v>62</v>
      </c>
      <c r="G1" s="2" t="s">
        <v>4</v>
      </c>
      <c r="H1" s="2" t="s">
        <v>467</v>
      </c>
      <c r="I1" s="2" t="s">
        <v>468</v>
      </c>
      <c r="J1" s="2" t="s">
        <v>70</v>
      </c>
      <c r="K1" s="1"/>
      <c r="L1" s="1"/>
      <c r="M1" s="1"/>
      <c r="N1" s="1"/>
      <c r="O1" s="1"/>
      <c r="P1" s="1"/>
      <c r="Q1" s="1"/>
      <c r="R1" s="1"/>
      <c r="S1" s="1"/>
      <c r="T1" s="1"/>
      <c r="U1" s="1"/>
      <c r="V1" s="1"/>
      <c r="W1" s="1"/>
      <c r="X1" s="1"/>
      <c r="Y1" s="1"/>
      <c r="Z1" s="1"/>
    </row>
    <row r="2" spans="1:26" ht="54" customHeight="1">
      <c r="A2" s="1" t="s">
        <v>469</v>
      </c>
      <c r="B2" s="1" t="s">
        <v>470</v>
      </c>
      <c r="C2" s="1" t="s">
        <v>471</v>
      </c>
      <c r="D2" s="1" t="s">
        <v>472</v>
      </c>
      <c r="E2" s="4">
        <v>46284</v>
      </c>
      <c r="F2" s="4">
        <v>46286</v>
      </c>
      <c r="G2" s="1" t="s">
        <v>10</v>
      </c>
      <c r="H2" s="1" t="s">
        <v>473</v>
      </c>
      <c r="I2" s="1" t="s">
        <v>474</v>
      </c>
      <c r="J2" s="1" t="s">
        <v>85</v>
      </c>
      <c r="K2" s="1"/>
      <c r="L2" s="1"/>
      <c r="M2" s="1"/>
      <c r="N2" s="1"/>
      <c r="O2" s="1"/>
      <c r="P2" s="1"/>
      <c r="Q2" s="1"/>
      <c r="R2" s="1"/>
      <c r="S2" s="1"/>
      <c r="T2" s="1"/>
      <c r="U2" s="1"/>
      <c r="V2" s="1"/>
      <c r="W2" s="1"/>
      <c r="X2" s="1"/>
      <c r="Y2" s="1"/>
      <c r="Z2" s="1"/>
    </row>
    <row r="3" spans="1:26" ht="54" customHeight="1">
      <c r="A3" s="1" t="s">
        <v>475</v>
      </c>
      <c r="B3" s="1" t="s">
        <v>476</v>
      </c>
      <c r="C3" s="1" t="s">
        <v>471</v>
      </c>
      <c r="D3" s="1" t="s">
        <v>477</v>
      </c>
      <c r="E3" s="4">
        <v>46287</v>
      </c>
      <c r="F3" s="4">
        <v>46307</v>
      </c>
      <c r="G3" s="1" t="s">
        <v>10</v>
      </c>
      <c r="H3" s="1" t="s">
        <v>478</v>
      </c>
      <c r="I3" s="1" t="s">
        <v>479</v>
      </c>
      <c r="J3" s="1" t="s">
        <v>85</v>
      </c>
      <c r="K3" s="1"/>
      <c r="L3" s="1"/>
      <c r="M3" s="1"/>
      <c r="N3" s="1"/>
      <c r="O3" s="1"/>
      <c r="P3" s="1"/>
      <c r="Q3" s="1"/>
      <c r="R3" s="1"/>
      <c r="S3" s="1"/>
      <c r="T3" s="1"/>
      <c r="U3" s="1"/>
      <c r="V3" s="1"/>
      <c r="W3" s="1"/>
      <c r="X3" s="1"/>
      <c r="Y3" s="1"/>
      <c r="Z3" s="1"/>
    </row>
    <row r="4" spans="1:26" ht="54" customHeight="1">
      <c r="A4" s="1" t="s">
        <v>480</v>
      </c>
      <c r="B4" s="1" t="s">
        <v>481</v>
      </c>
      <c r="C4" s="1" t="s">
        <v>471</v>
      </c>
      <c r="D4" s="1" t="s">
        <v>482</v>
      </c>
      <c r="E4" s="4">
        <v>46308</v>
      </c>
      <c r="F4" s="4">
        <v>46342</v>
      </c>
      <c r="G4" s="1" t="s">
        <v>10</v>
      </c>
      <c r="H4" s="1" t="s">
        <v>483</v>
      </c>
      <c r="I4" s="1" t="s">
        <v>484</v>
      </c>
      <c r="J4" s="1" t="s">
        <v>85</v>
      </c>
      <c r="K4" s="1"/>
      <c r="L4" s="1"/>
      <c r="M4" s="1"/>
      <c r="N4" s="1"/>
      <c r="O4" s="1"/>
      <c r="P4" s="1"/>
      <c r="Q4" s="1"/>
      <c r="R4" s="1"/>
      <c r="S4" s="1"/>
      <c r="T4" s="1"/>
      <c r="U4" s="1"/>
      <c r="V4" s="1"/>
      <c r="W4" s="1"/>
      <c r="X4" s="1"/>
      <c r="Y4" s="1"/>
      <c r="Z4" s="1"/>
    </row>
    <row r="5" spans="1:26" ht="54" customHeight="1">
      <c r="A5" s="1" t="s">
        <v>485</v>
      </c>
      <c r="B5" s="1" t="s">
        <v>486</v>
      </c>
      <c r="C5" s="1" t="s">
        <v>471</v>
      </c>
      <c r="D5" s="1" t="s">
        <v>487</v>
      </c>
      <c r="E5" s="4">
        <v>46343</v>
      </c>
      <c r="F5" s="4">
        <v>46368</v>
      </c>
      <c r="G5" s="1" t="s">
        <v>488</v>
      </c>
      <c r="H5" s="1" t="s">
        <v>489</v>
      </c>
      <c r="I5" s="1" t="s">
        <v>490</v>
      </c>
      <c r="J5" s="1" t="s">
        <v>85</v>
      </c>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00"/>
  <sheetViews>
    <sheetView workbookViewId="0"/>
  </sheetViews>
  <sheetFormatPr defaultRowHeight="14.25"/>
  <cols>
    <col min="1" max="1" width="14" customWidth="1"/>
    <col min="2" max="2" width="48" customWidth="1"/>
    <col min="3" max="3" width="18" customWidth="1"/>
    <col min="4" max="4" width="50" customWidth="1"/>
    <col min="5" max="5" width="12" customWidth="1"/>
  </cols>
  <sheetData>
    <row r="1" spans="1:26" ht="15">
      <c r="A1" s="2" t="s">
        <v>491</v>
      </c>
      <c r="B1" s="2" t="s">
        <v>492</v>
      </c>
      <c r="C1" s="2" t="s">
        <v>493</v>
      </c>
      <c r="D1" s="2" t="s">
        <v>494</v>
      </c>
      <c r="E1" s="2" t="s">
        <v>495</v>
      </c>
      <c r="F1" s="1"/>
      <c r="G1" s="1"/>
      <c r="H1" s="1"/>
      <c r="I1" s="1"/>
      <c r="J1" s="1"/>
      <c r="K1" s="1"/>
      <c r="L1" s="1"/>
      <c r="M1" s="1"/>
      <c r="N1" s="1"/>
      <c r="O1" s="1"/>
      <c r="P1" s="1"/>
      <c r="Q1" s="1"/>
      <c r="R1" s="1"/>
      <c r="S1" s="1"/>
      <c r="T1" s="1"/>
      <c r="U1" s="1"/>
      <c r="V1" s="1"/>
      <c r="W1" s="1"/>
      <c r="X1" s="1"/>
      <c r="Y1" s="1"/>
      <c r="Z1" s="1"/>
    </row>
    <row r="2" spans="1:26" ht="54" customHeight="1">
      <c r="A2" s="1" t="s">
        <v>496</v>
      </c>
      <c r="B2" s="1" t="s">
        <v>497</v>
      </c>
      <c r="C2" s="1" t="s">
        <v>10</v>
      </c>
      <c r="D2" s="1" t="s">
        <v>498</v>
      </c>
      <c r="E2" s="1" t="s">
        <v>499</v>
      </c>
      <c r="F2" s="1"/>
      <c r="G2" s="1"/>
      <c r="H2" s="1"/>
      <c r="I2" s="1"/>
      <c r="J2" s="1"/>
      <c r="K2" s="1"/>
      <c r="L2" s="1"/>
      <c r="M2" s="1"/>
      <c r="N2" s="1"/>
      <c r="O2" s="1"/>
      <c r="P2" s="1"/>
      <c r="Q2" s="1"/>
      <c r="R2" s="1"/>
      <c r="S2" s="1"/>
      <c r="T2" s="1"/>
      <c r="U2" s="1"/>
      <c r="V2" s="1"/>
      <c r="W2" s="1"/>
      <c r="X2" s="1"/>
      <c r="Y2" s="1"/>
      <c r="Z2" s="1"/>
    </row>
    <row r="3" spans="1:26" ht="54" customHeight="1">
      <c r="A3" s="1" t="s">
        <v>500</v>
      </c>
      <c r="B3" s="1" t="s">
        <v>501</v>
      </c>
      <c r="C3" s="1" t="s">
        <v>10</v>
      </c>
      <c r="D3" s="1" t="s">
        <v>502</v>
      </c>
      <c r="E3" s="1" t="s">
        <v>499</v>
      </c>
      <c r="F3" s="1"/>
      <c r="G3" s="1"/>
      <c r="H3" s="1"/>
      <c r="I3" s="1"/>
      <c r="J3" s="1"/>
      <c r="K3" s="1"/>
      <c r="L3" s="1"/>
      <c r="M3" s="1"/>
      <c r="N3" s="1"/>
      <c r="O3" s="1"/>
      <c r="P3" s="1"/>
      <c r="Q3" s="1"/>
      <c r="R3" s="1"/>
      <c r="S3" s="1"/>
      <c r="T3" s="1"/>
      <c r="U3" s="1"/>
      <c r="V3" s="1"/>
      <c r="W3" s="1"/>
      <c r="X3" s="1"/>
      <c r="Y3" s="1"/>
      <c r="Z3" s="1"/>
    </row>
    <row r="4" spans="1:26" ht="54" customHeight="1">
      <c r="A4" s="1" t="s">
        <v>503</v>
      </c>
      <c r="B4" s="1" t="s">
        <v>504</v>
      </c>
      <c r="C4" s="1" t="s">
        <v>10</v>
      </c>
      <c r="D4" s="1" t="s">
        <v>505</v>
      </c>
      <c r="E4" s="1" t="s">
        <v>499</v>
      </c>
      <c r="F4" s="1"/>
      <c r="G4" s="1"/>
      <c r="H4" s="1"/>
      <c r="I4" s="1"/>
      <c r="J4" s="1"/>
      <c r="K4" s="1"/>
      <c r="L4" s="1"/>
      <c r="M4" s="1"/>
      <c r="N4" s="1"/>
      <c r="O4" s="1"/>
      <c r="P4" s="1"/>
      <c r="Q4" s="1"/>
      <c r="R4" s="1"/>
      <c r="S4" s="1"/>
      <c r="T4" s="1"/>
      <c r="U4" s="1"/>
      <c r="V4" s="1"/>
      <c r="W4" s="1"/>
      <c r="X4" s="1"/>
      <c r="Y4" s="1"/>
      <c r="Z4" s="1"/>
    </row>
    <row r="5" spans="1:26" ht="54" customHeight="1">
      <c r="A5" s="1" t="s">
        <v>506</v>
      </c>
      <c r="B5" s="1" t="s">
        <v>507</v>
      </c>
      <c r="C5" s="1" t="s">
        <v>10</v>
      </c>
      <c r="D5" s="1" t="s">
        <v>291</v>
      </c>
      <c r="E5" s="1" t="s">
        <v>499</v>
      </c>
      <c r="F5" s="1"/>
      <c r="G5" s="1"/>
      <c r="H5" s="1"/>
      <c r="I5" s="1"/>
      <c r="J5" s="1"/>
      <c r="K5" s="1"/>
      <c r="L5" s="1"/>
      <c r="M5" s="1"/>
      <c r="N5" s="1"/>
      <c r="O5" s="1"/>
      <c r="P5" s="1"/>
      <c r="Q5" s="1"/>
      <c r="R5" s="1"/>
      <c r="S5" s="1"/>
      <c r="T5" s="1"/>
      <c r="U5" s="1"/>
      <c r="V5" s="1"/>
      <c r="W5" s="1"/>
      <c r="X5" s="1"/>
      <c r="Y5" s="1"/>
      <c r="Z5" s="1"/>
    </row>
    <row r="6" spans="1:26" ht="54" customHeight="1">
      <c r="A6" s="1" t="s">
        <v>339</v>
      </c>
      <c r="B6" s="1" t="s">
        <v>508</v>
      </c>
      <c r="C6" s="1" t="s">
        <v>10</v>
      </c>
      <c r="D6" s="1" t="s">
        <v>509</v>
      </c>
      <c r="E6" s="1" t="s">
        <v>499</v>
      </c>
      <c r="F6" s="1"/>
      <c r="G6" s="1"/>
      <c r="H6" s="1"/>
      <c r="I6" s="1"/>
      <c r="J6" s="1"/>
      <c r="K6" s="1"/>
      <c r="L6" s="1"/>
      <c r="M6" s="1"/>
      <c r="N6" s="1"/>
      <c r="O6" s="1"/>
      <c r="P6" s="1"/>
      <c r="Q6" s="1"/>
      <c r="R6" s="1"/>
      <c r="S6" s="1"/>
      <c r="T6" s="1"/>
      <c r="U6" s="1"/>
      <c r="V6" s="1"/>
      <c r="W6" s="1"/>
      <c r="X6" s="1"/>
      <c r="Y6" s="1"/>
      <c r="Z6" s="1"/>
    </row>
    <row r="7" spans="1:26" ht="54" customHeight="1">
      <c r="A7" s="1" t="s">
        <v>309</v>
      </c>
      <c r="B7" s="1" t="s">
        <v>510</v>
      </c>
      <c r="C7" s="1" t="s">
        <v>10</v>
      </c>
      <c r="D7" s="1" t="s">
        <v>511</v>
      </c>
      <c r="E7" s="1" t="s">
        <v>499</v>
      </c>
      <c r="F7" s="1"/>
      <c r="G7" s="1"/>
      <c r="H7" s="1"/>
      <c r="I7" s="1"/>
      <c r="J7" s="1"/>
      <c r="K7" s="1"/>
      <c r="L7" s="1"/>
      <c r="M7" s="1"/>
      <c r="N7" s="1"/>
      <c r="O7" s="1"/>
      <c r="P7" s="1"/>
      <c r="Q7" s="1"/>
      <c r="R7" s="1"/>
      <c r="S7" s="1"/>
      <c r="T7" s="1"/>
      <c r="U7" s="1"/>
      <c r="V7" s="1"/>
      <c r="W7" s="1"/>
      <c r="X7" s="1"/>
      <c r="Y7" s="1"/>
      <c r="Z7" s="1"/>
    </row>
    <row r="8" spans="1:26" ht="54" customHeight="1">
      <c r="A8" s="1" t="s">
        <v>512</v>
      </c>
      <c r="B8" s="1" t="s">
        <v>513</v>
      </c>
      <c r="C8" s="1" t="s">
        <v>10</v>
      </c>
      <c r="D8" s="1" t="s">
        <v>514</v>
      </c>
      <c r="E8" s="1" t="s">
        <v>499</v>
      </c>
      <c r="F8" s="1"/>
      <c r="G8" s="1"/>
      <c r="H8" s="1"/>
      <c r="I8" s="1"/>
      <c r="J8" s="1"/>
      <c r="K8" s="1"/>
      <c r="L8" s="1"/>
      <c r="M8" s="1"/>
      <c r="N8" s="1"/>
      <c r="O8" s="1"/>
      <c r="P8" s="1"/>
      <c r="Q8" s="1"/>
      <c r="R8" s="1"/>
      <c r="S8" s="1"/>
      <c r="T8" s="1"/>
      <c r="U8" s="1"/>
      <c r="V8" s="1"/>
      <c r="W8" s="1"/>
      <c r="X8" s="1"/>
      <c r="Y8" s="1"/>
      <c r="Z8" s="1"/>
    </row>
    <row r="9" spans="1:26" ht="54" customHeight="1">
      <c r="A9" s="1" t="s">
        <v>515</v>
      </c>
      <c r="B9" s="1" t="s">
        <v>516</v>
      </c>
      <c r="C9" s="1" t="s">
        <v>10</v>
      </c>
      <c r="D9" s="1" t="s">
        <v>514</v>
      </c>
      <c r="E9" s="1" t="s">
        <v>499</v>
      </c>
      <c r="F9" s="1"/>
      <c r="G9" s="1"/>
      <c r="H9" s="1"/>
      <c r="I9" s="1"/>
      <c r="J9" s="1"/>
      <c r="K9" s="1"/>
      <c r="L9" s="1"/>
      <c r="M9" s="1"/>
      <c r="N9" s="1"/>
      <c r="O9" s="1"/>
      <c r="P9" s="1"/>
      <c r="Q9" s="1"/>
      <c r="R9" s="1"/>
      <c r="S9" s="1"/>
      <c r="T9" s="1"/>
      <c r="U9" s="1"/>
      <c r="V9" s="1"/>
      <c r="W9" s="1"/>
      <c r="X9" s="1"/>
      <c r="Y9" s="1"/>
      <c r="Z9" s="1"/>
    </row>
    <row r="10" spans="1:26" ht="54" customHeight="1">
      <c r="A10" s="1" t="s">
        <v>517</v>
      </c>
      <c r="B10" s="1" t="s">
        <v>518</v>
      </c>
      <c r="C10" s="1" t="s">
        <v>10</v>
      </c>
      <c r="D10" s="1" t="s">
        <v>519</v>
      </c>
      <c r="E10" s="1" t="s">
        <v>499</v>
      </c>
      <c r="F10" s="1"/>
      <c r="G10" s="1"/>
      <c r="H10" s="1"/>
      <c r="I10" s="1"/>
      <c r="J10" s="1"/>
      <c r="K10" s="1"/>
      <c r="L10" s="1"/>
      <c r="M10" s="1"/>
      <c r="N10" s="1"/>
      <c r="O10" s="1"/>
      <c r="P10" s="1"/>
      <c r="Q10" s="1"/>
      <c r="R10" s="1"/>
      <c r="S10" s="1"/>
      <c r="T10" s="1"/>
      <c r="U10" s="1"/>
      <c r="V10" s="1"/>
      <c r="W10" s="1"/>
      <c r="X10" s="1"/>
      <c r="Y10" s="1"/>
      <c r="Z10" s="1"/>
    </row>
    <row r="11" spans="1:26" ht="54" customHeight="1">
      <c r="A11" s="1" t="s">
        <v>520</v>
      </c>
      <c r="B11" s="1" t="s">
        <v>521</v>
      </c>
      <c r="C11" s="1" t="s">
        <v>10</v>
      </c>
      <c r="D11" s="1" t="s">
        <v>522</v>
      </c>
      <c r="E11" s="1" t="s">
        <v>499</v>
      </c>
      <c r="F11" s="1"/>
      <c r="G11" s="1"/>
      <c r="H11" s="1"/>
      <c r="I11" s="1"/>
      <c r="J11" s="1"/>
      <c r="K11" s="1"/>
      <c r="L11" s="1"/>
      <c r="M11" s="1"/>
      <c r="N11" s="1"/>
      <c r="O11" s="1"/>
      <c r="P11" s="1"/>
      <c r="Q11" s="1"/>
      <c r="R11" s="1"/>
      <c r="S11" s="1"/>
      <c r="T11" s="1"/>
      <c r="U11" s="1"/>
      <c r="V11" s="1"/>
      <c r="W11" s="1"/>
      <c r="X11" s="1"/>
      <c r="Y11" s="1"/>
      <c r="Z11" s="1"/>
    </row>
    <row r="12" spans="1:26" ht="54" customHeight="1">
      <c r="A12" s="1" t="s">
        <v>523</v>
      </c>
      <c r="B12" s="1" t="s">
        <v>524</v>
      </c>
      <c r="C12" s="1" t="s">
        <v>10</v>
      </c>
      <c r="D12" s="1" t="s">
        <v>525</v>
      </c>
      <c r="E12" s="1" t="s">
        <v>499</v>
      </c>
      <c r="F12" s="1"/>
      <c r="G12" s="1"/>
      <c r="H12" s="1"/>
      <c r="I12" s="1"/>
      <c r="J12" s="1"/>
      <c r="K12" s="1"/>
      <c r="L12" s="1"/>
      <c r="M12" s="1"/>
      <c r="N12" s="1"/>
      <c r="O12" s="1"/>
      <c r="P12" s="1"/>
      <c r="Q12" s="1"/>
      <c r="R12" s="1"/>
      <c r="S12" s="1"/>
      <c r="T12" s="1"/>
      <c r="U12" s="1"/>
      <c r="V12" s="1"/>
      <c r="W12" s="1"/>
      <c r="X12" s="1"/>
      <c r="Y12" s="1"/>
      <c r="Z12" s="1"/>
    </row>
    <row r="13" spans="1:26" ht="54" customHeight="1">
      <c r="A13" s="1" t="s">
        <v>526</v>
      </c>
      <c r="B13" s="1" t="s">
        <v>527</v>
      </c>
      <c r="C13" s="1" t="s">
        <v>10</v>
      </c>
      <c r="D13" s="1" t="s">
        <v>525</v>
      </c>
      <c r="E13" s="1" t="s">
        <v>499</v>
      </c>
      <c r="F13" s="1"/>
      <c r="G13" s="1"/>
      <c r="H13" s="1"/>
      <c r="I13" s="1"/>
      <c r="J13" s="1"/>
      <c r="K13" s="1"/>
      <c r="L13" s="1"/>
      <c r="M13" s="1"/>
      <c r="N13" s="1"/>
      <c r="O13" s="1"/>
      <c r="P13" s="1"/>
      <c r="Q13" s="1"/>
      <c r="R13" s="1"/>
      <c r="S13" s="1"/>
      <c r="T13" s="1"/>
      <c r="U13" s="1"/>
      <c r="V13" s="1"/>
      <c r="W13" s="1"/>
      <c r="X13" s="1"/>
      <c r="Y13" s="1"/>
      <c r="Z13" s="1"/>
    </row>
    <row r="14" spans="1:26" ht="54" customHeight="1">
      <c r="A14" s="1" t="s">
        <v>195</v>
      </c>
      <c r="B14" s="1" t="s">
        <v>528</v>
      </c>
      <c r="C14" s="1" t="s">
        <v>10</v>
      </c>
      <c r="D14" s="1" t="s">
        <v>529</v>
      </c>
      <c r="E14" s="1" t="s">
        <v>499</v>
      </c>
      <c r="F14" s="1"/>
      <c r="G14" s="1"/>
      <c r="H14" s="1"/>
      <c r="I14" s="1"/>
      <c r="J14" s="1"/>
      <c r="K14" s="1"/>
      <c r="L14" s="1"/>
      <c r="M14" s="1"/>
      <c r="N14" s="1"/>
      <c r="O14" s="1"/>
      <c r="P14" s="1"/>
      <c r="Q14" s="1"/>
      <c r="R14" s="1"/>
      <c r="S14" s="1"/>
      <c r="T14" s="1"/>
      <c r="U14" s="1"/>
      <c r="V14" s="1"/>
      <c r="W14" s="1"/>
      <c r="X14" s="1"/>
      <c r="Y14" s="1"/>
      <c r="Z14" s="1"/>
    </row>
    <row r="15" spans="1:26" ht="54" customHeight="1">
      <c r="A15" s="1" t="s">
        <v>530</v>
      </c>
      <c r="B15" s="1" t="s">
        <v>531</v>
      </c>
      <c r="C15" s="1" t="s">
        <v>10</v>
      </c>
      <c r="D15" s="1" t="s">
        <v>532</v>
      </c>
      <c r="E15" s="1" t="s">
        <v>499</v>
      </c>
      <c r="F15" s="1"/>
      <c r="G15" s="1"/>
      <c r="H15" s="1"/>
      <c r="I15" s="1"/>
      <c r="J15" s="1"/>
      <c r="K15" s="1"/>
      <c r="L15" s="1"/>
      <c r="M15" s="1"/>
      <c r="N15" s="1"/>
      <c r="O15" s="1"/>
      <c r="P15" s="1"/>
      <c r="Q15" s="1"/>
      <c r="R15" s="1"/>
      <c r="S15" s="1"/>
      <c r="T15" s="1"/>
      <c r="U15" s="1"/>
      <c r="V15" s="1"/>
      <c r="W15" s="1"/>
      <c r="X15" s="1"/>
      <c r="Y15" s="1"/>
      <c r="Z15" s="1"/>
    </row>
    <row r="16" spans="1:26" ht="54" customHeight="1">
      <c r="A16" s="1" t="s">
        <v>533</v>
      </c>
      <c r="B16" s="1" t="s">
        <v>534</v>
      </c>
      <c r="C16" s="1" t="s">
        <v>10</v>
      </c>
      <c r="D16" s="1" t="s">
        <v>535</v>
      </c>
      <c r="E16" s="1" t="s">
        <v>499</v>
      </c>
      <c r="F16" s="1"/>
      <c r="G16" s="1"/>
      <c r="H16" s="1"/>
      <c r="I16" s="1"/>
      <c r="J16" s="1"/>
      <c r="K16" s="1"/>
      <c r="L16" s="1"/>
      <c r="M16" s="1"/>
      <c r="N16" s="1"/>
      <c r="O16" s="1"/>
      <c r="P16" s="1"/>
      <c r="Q16" s="1"/>
      <c r="R16" s="1"/>
      <c r="S16" s="1"/>
      <c r="T16" s="1"/>
      <c r="U16" s="1"/>
      <c r="V16" s="1"/>
      <c r="W16" s="1"/>
      <c r="X16" s="1"/>
      <c r="Y16" s="1"/>
      <c r="Z16" s="1"/>
    </row>
    <row r="17" spans="1:26" ht="54" customHeight="1">
      <c r="A17" s="1" t="s">
        <v>359</v>
      </c>
      <c r="B17" s="1" t="s">
        <v>536</v>
      </c>
      <c r="C17" s="1" t="s">
        <v>10</v>
      </c>
      <c r="D17" s="1" t="s">
        <v>537</v>
      </c>
      <c r="E17" s="1" t="s">
        <v>499</v>
      </c>
      <c r="F17" s="1"/>
      <c r="G17" s="1"/>
      <c r="H17" s="1"/>
      <c r="I17" s="1"/>
      <c r="J17" s="1"/>
      <c r="K17" s="1"/>
      <c r="L17" s="1"/>
      <c r="M17" s="1"/>
      <c r="N17" s="1"/>
      <c r="O17" s="1"/>
      <c r="P17" s="1"/>
      <c r="Q17" s="1"/>
      <c r="R17" s="1"/>
      <c r="S17" s="1"/>
      <c r="T17" s="1"/>
      <c r="U17" s="1"/>
      <c r="V17" s="1"/>
      <c r="W17" s="1"/>
      <c r="X17" s="1"/>
      <c r="Y17" s="1"/>
      <c r="Z17" s="1"/>
    </row>
    <row r="18" spans="1:26" ht="54" customHeight="1">
      <c r="A18" s="1" t="s">
        <v>538</v>
      </c>
      <c r="B18" s="1" t="s">
        <v>539</v>
      </c>
      <c r="C18" s="1" t="s">
        <v>540</v>
      </c>
      <c r="D18" s="1" t="s">
        <v>541</v>
      </c>
      <c r="E18" s="1" t="s">
        <v>499</v>
      </c>
      <c r="F18" s="1"/>
      <c r="G18" s="1"/>
      <c r="H18" s="1"/>
      <c r="I18" s="1"/>
      <c r="J18" s="1"/>
      <c r="K18" s="1"/>
      <c r="L18" s="1"/>
      <c r="M18" s="1"/>
      <c r="N18" s="1"/>
      <c r="O18" s="1"/>
      <c r="P18" s="1"/>
      <c r="Q18" s="1"/>
      <c r="R18" s="1"/>
      <c r="S18" s="1"/>
      <c r="T18" s="1"/>
      <c r="U18" s="1"/>
      <c r="V18" s="1"/>
      <c r="W18" s="1"/>
      <c r="X18" s="1"/>
      <c r="Y18" s="1"/>
      <c r="Z18" s="1"/>
    </row>
    <row r="19" spans="1:26" ht="54" customHeight="1">
      <c r="A19" s="1" t="s">
        <v>542</v>
      </c>
      <c r="B19" s="1" t="s">
        <v>543</v>
      </c>
      <c r="C19" s="1" t="s">
        <v>540</v>
      </c>
      <c r="D19" s="1" t="s">
        <v>541</v>
      </c>
      <c r="E19" s="1" t="s">
        <v>499</v>
      </c>
      <c r="F19" s="1"/>
      <c r="G19" s="1"/>
      <c r="H19" s="1"/>
      <c r="I19" s="1"/>
      <c r="J19" s="1"/>
      <c r="K19" s="1"/>
      <c r="L19" s="1"/>
      <c r="M19" s="1"/>
      <c r="N19" s="1"/>
      <c r="O19" s="1"/>
      <c r="P19" s="1"/>
      <c r="Q19" s="1"/>
      <c r="R19" s="1"/>
      <c r="S19" s="1"/>
      <c r="T19" s="1"/>
      <c r="U19" s="1"/>
      <c r="V19" s="1"/>
      <c r="W19" s="1"/>
      <c r="X19" s="1"/>
      <c r="Y19" s="1"/>
      <c r="Z19" s="1"/>
    </row>
    <row r="20" spans="1:26" ht="54" customHeight="1">
      <c r="A20" s="1" t="s">
        <v>544</v>
      </c>
      <c r="B20" s="1" t="s">
        <v>545</v>
      </c>
      <c r="C20" s="1" t="s">
        <v>10</v>
      </c>
      <c r="D20" s="1" t="s">
        <v>546</v>
      </c>
      <c r="E20" s="1" t="s">
        <v>499</v>
      </c>
      <c r="F20" s="1"/>
      <c r="G20" s="1"/>
      <c r="H20" s="1"/>
      <c r="I20" s="1"/>
      <c r="J20" s="1"/>
      <c r="K20" s="1"/>
      <c r="L20" s="1"/>
      <c r="M20" s="1"/>
      <c r="N20" s="1"/>
      <c r="O20" s="1"/>
      <c r="P20" s="1"/>
      <c r="Q20" s="1"/>
      <c r="R20" s="1"/>
      <c r="S20" s="1"/>
      <c r="T20" s="1"/>
      <c r="U20" s="1"/>
      <c r="V20" s="1"/>
      <c r="W20" s="1"/>
      <c r="X20" s="1"/>
      <c r="Y20" s="1"/>
      <c r="Z20" s="1"/>
    </row>
    <row r="21" spans="1:26" ht="54" customHeight="1">
      <c r="A21" s="1" t="s">
        <v>547</v>
      </c>
      <c r="B21" s="1" t="s">
        <v>548</v>
      </c>
      <c r="C21" s="1" t="s">
        <v>10</v>
      </c>
      <c r="D21" s="1" t="s">
        <v>157</v>
      </c>
      <c r="E21" s="1" t="s">
        <v>499</v>
      </c>
      <c r="F21" s="1"/>
      <c r="G21" s="1"/>
      <c r="H21" s="1"/>
      <c r="I21" s="1"/>
      <c r="J21" s="1"/>
      <c r="K21" s="1"/>
      <c r="L21" s="1"/>
      <c r="M21" s="1"/>
      <c r="N21" s="1"/>
      <c r="O21" s="1"/>
      <c r="P21" s="1"/>
      <c r="Q21" s="1"/>
      <c r="R21" s="1"/>
      <c r="S21" s="1"/>
      <c r="T21" s="1"/>
      <c r="U21" s="1"/>
      <c r="V21" s="1"/>
      <c r="W21" s="1"/>
      <c r="X21" s="1"/>
      <c r="Y21" s="1"/>
      <c r="Z21" s="1"/>
    </row>
    <row r="22" spans="1:26" ht="54" customHeight="1">
      <c r="A22" s="1" t="s">
        <v>549</v>
      </c>
      <c r="B22" s="1" t="s">
        <v>550</v>
      </c>
      <c r="C22" s="1" t="s">
        <v>10</v>
      </c>
      <c r="D22" s="1" t="s">
        <v>551</v>
      </c>
      <c r="E22" s="1" t="s">
        <v>499</v>
      </c>
      <c r="F22" s="1"/>
      <c r="G22" s="1"/>
      <c r="H22" s="1"/>
      <c r="I22" s="1"/>
      <c r="J22" s="1"/>
      <c r="K22" s="1"/>
      <c r="L22" s="1"/>
      <c r="M22" s="1"/>
      <c r="N22" s="1"/>
      <c r="O22" s="1"/>
      <c r="P22" s="1"/>
      <c r="Q22" s="1"/>
      <c r="R22" s="1"/>
      <c r="S22" s="1"/>
      <c r="T22" s="1"/>
      <c r="U22" s="1"/>
      <c r="V22" s="1"/>
      <c r="W22" s="1"/>
      <c r="X22" s="1"/>
      <c r="Y22" s="1"/>
      <c r="Z22" s="1"/>
    </row>
    <row r="23" spans="1:26" ht="54" customHeight="1">
      <c r="A23" s="1" t="s">
        <v>552</v>
      </c>
      <c r="B23" s="1" t="s">
        <v>553</v>
      </c>
      <c r="C23" s="1" t="s">
        <v>10</v>
      </c>
      <c r="D23" s="1" t="s">
        <v>554</v>
      </c>
      <c r="E23" s="1" t="s">
        <v>499</v>
      </c>
      <c r="F23" s="1"/>
      <c r="G23" s="1"/>
      <c r="H23" s="1"/>
      <c r="I23" s="1"/>
      <c r="J23" s="1"/>
      <c r="K23" s="1"/>
      <c r="L23" s="1"/>
      <c r="M23" s="1"/>
      <c r="N23" s="1"/>
      <c r="O23" s="1"/>
      <c r="P23" s="1"/>
      <c r="Q23" s="1"/>
      <c r="R23" s="1"/>
      <c r="S23" s="1"/>
      <c r="T23" s="1"/>
      <c r="U23" s="1"/>
      <c r="V23" s="1"/>
      <c r="W23" s="1"/>
      <c r="X23" s="1"/>
      <c r="Y23" s="1"/>
      <c r="Z23" s="1"/>
    </row>
    <row r="24" spans="1:26" ht="54" customHeight="1">
      <c r="A24" s="1" t="s">
        <v>261</v>
      </c>
      <c r="B24" s="1" t="s">
        <v>555</v>
      </c>
      <c r="C24" s="1" t="s">
        <v>10</v>
      </c>
      <c r="D24" s="1" t="s">
        <v>556</v>
      </c>
      <c r="E24" s="1" t="s">
        <v>499</v>
      </c>
      <c r="F24" s="1"/>
      <c r="G24" s="1"/>
      <c r="H24" s="1"/>
      <c r="I24" s="1"/>
      <c r="J24" s="1"/>
      <c r="K24" s="1"/>
      <c r="L24" s="1"/>
      <c r="M24" s="1"/>
      <c r="N24" s="1"/>
      <c r="O24" s="1"/>
      <c r="P24" s="1"/>
      <c r="Q24" s="1"/>
      <c r="R24" s="1"/>
      <c r="S24" s="1"/>
      <c r="T24" s="1"/>
      <c r="U24" s="1"/>
      <c r="V24" s="1"/>
      <c r="W24" s="1"/>
      <c r="X24" s="1"/>
      <c r="Y24" s="1"/>
      <c r="Z24" s="1"/>
    </row>
    <row r="25" spans="1:26" ht="54" customHeight="1">
      <c r="A25" s="1" t="s">
        <v>557</v>
      </c>
      <c r="B25" s="1" t="s">
        <v>558</v>
      </c>
      <c r="C25" s="1" t="s">
        <v>10</v>
      </c>
      <c r="D25" s="1" t="s">
        <v>559</v>
      </c>
      <c r="E25" s="1" t="s">
        <v>499</v>
      </c>
      <c r="F25" s="1"/>
      <c r="G25" s="1"/>
      <c r="H25" s="1"/>
      <c r="I25" s="1"/>
      <c r="J25" s="1"/>
      <c r="K25" s="1"/>
      <c r="L25" s="1"/>
      <c r="M25" s="1"/>
      <c r="N25" s="1"/>
      <c r="O25" s="1"/>
      <c r="P25" s="1"/>
      <c r="Q25" s="1"/>
      <c r="R25" s="1"/>
      <c r="S25" s="1"/>
      <c r="T25" s="1"/>
      <c r="U25" s="1"/>
      <c r="V25" s="1"/>
      <c r="W25" s="1"/>
      <c r="X25" s="1"/>
      <c r="Y25" s="1"/>
      <c r="Z25" s="1"/>
    </row>
    <row r="26" spans="1:26" ht="54" customHeight="1">
      <c r="A26" s="1" t="s">
        <v>560</v>
      </c>
      <c r="B26" s="1" t="s">
        <v>561</v>
      </c>
      <c r="C26" s="1" t="s">
        <v>10</v>
      </c>
      <c r="D26" s="1" t="s">
        <v>562</v>
      </c>
      <c r="E26" s="1" t="s">
        <v>499</v>
      </c>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conditionalFormatting sqref="E2:E26">
    <cfRule type="expression" dxfId="1" priority="1">
      <formula>E2="Covered"</formula>
    </cfRule>
    <cfRule type="expression" dxfId="0" priority="2">
      <formula>E2="Gap"</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00"/>
  <sheetViews>
    <sheetView topLeftCell="T1" workbookViewId="0"/>
  </sheetViews>
  <sheetFormatPr defaultRowHeight="14.25"/>
  <cols>
    <col min="1" max="1" width="18" customWidth="1"/>
    <col min="2" max="2" width="24" customWidth="1"/>
    <col min="3" max="3" width="18" customWidth="1"/>
    <col min="4" max="4" width="34" customWidth="1"/>
    <col min="5" max="5" width="38" customWidth="1"/>
    <col min="6" max="6" width="14" customWidth="1"/>
    <col min="7" max="7" width="28" customWidth="1"/>
  </cols>
  <sheetData>
    <row r="1" spans="1:26" ht="15">
      <c r="A1" s="2" t="s">
        <v>563</v>
      </c>
      <c r="B1" s="2" t="s">
        <v>564</v>
      </c>
      <c r="C1" s="2" t="s">
        <v>565</v>
      </c>
      <c r="D1" s="2" t="s">
        <v>566</v>
      </c>
      <c r="E1" s="2" t="s">
        <v>567</v>
      </c>
      <c r="F1" s="1" t="s">
        <v>568</v>
      </c>
      <c r="G1" s="1" t="s">
        <v>569</v>
      </c>
      <c r="H1" s="1"/>
      <c r="I1" s="1"/>
      <c r="J1" s="1"/>
      <c r="K1" s="1"/>
      <c r="L1" s="1"/>
      <c r="M1" s="1"/>
      <c r="N1" s="1"/>
      <c r="O1" s="1"/>
      <c r="P1" s="1"/>
      <c r="Q1" s="1"/>
      <c r="R1" s="1"/>
      <c r="S1" s="1"/>
      <c r="T1" s="1"/>
      <c r="U1" s="1"/>
      <c r="V1" s="1"/>
      <c r="W1" s="1"/>
      <c r="X1" s="1"/>
      <c r="Y1" s="1"/>
      <c r="Z1" s="1"/>
    </row>
    <row r="2" spans="1:26" ht="54" customHeight="1">
      <c r="A2" s="1" t="s">
        <v>570</v>
      </c>
      <c r="B2" s="1" t="s">
        <v>571</v>
      </c>
      <c r="C2" s="1" t="s">
        <v>572</v>
      </c>
      <c r="D2" s="1" t="s">
        <v>573</v>
      </c>
      <c r="E2" s="1" t="s">
        <v>574</v>
      </c>
      <c r="F2" s="1" t="s">
        <v>187</v>
      </c>
      <c r="G2" s="1" t="s">
        <v>575</v>
      </c>
      <c r="H2" s="1"/>
      <c r="I2" s="1"/>
      <c r="J2" s="1"/>
      <c r="K2" s="1"/>
      <c r="L2" s="1"/>
      <c r="M2" s="1"/>
      <c r="N2" s="1"/>
      <c r="O2" s="1"/>
      <c r="P2" s="1"/>
      <c r="Q2" s="1"/>
      <c r="R2" s="1"/>
      <c r="S2" s="1"/>
      <c r="T2" s="1"/>
      <c r="U2" s="1"/>
      <c r="V2" s="1"/>
      <c r="W2" s="1"/>
      <c r="X2" s="1"/>
      <c r="Y2" s="1"/>
      <c r="Z2" s="1"/>
    </row>
    <row r="3" spans="1:26" ht="54" customHeight="1">
      <c r="A3" s="1" t="s">
        <v>570</v>
      </c>
      <c r="B3" s="1" t="s">
        <v>576</v>
      </c>
      <c r="C3" s="1" t="s">
        <v>572</v>
      </c>
      <c r="D3" s="1" t="s">
        <v>577</v>
      </c>
      <c r="E3" s="1" t="s">
        <v>578</v>
      </c>
      <c r="F3" s="1" t="s">
        <v>187</v>
      </c>
      <c r="G3" s="1" t="s">
        <v>579</v>
      </c>
      <c r="H3" s="1"/>
      <c r="I3" s="1"/>
      <c r="J3" s="1"/>
      <c r="K3" s="1"/>
      <c r="L3" s="1"/>
      <c r="M3" s="1"/>
      <c r="N3" s="1"/>
      <c r="O3" s="1"/>
      <c r="P3" s="1"/>
      <c r="Q3" s="1"/>
      <c r="R3" s="1"/>
      <c r="S3" s="1"/>
      <c r="T3" s="1"/>
      <c r="U3" s="1"/>
      <c r="V3" s="1"/>
      <c r="W3" s="1"/>
      <c r="X3" s="1"/>
      <c r="Y3" s="1"/>
      <c r="Z3" s="1"/>
    </row>
    <row r="4" spans="1:26" ht="54" customHeight="1">
      <c r="A4" s="1" t="s">
        <v>570</v>
      </c>
      <c r="B4" s="1" t="s">
        <v>580</v>
      </c>
      <c r="C4" s="1" t="s">
        <v>572</v>
      </c>
      <c r="D4" s="1" t="s">
        <v>581</v>
      </c>
      <c r="E4" s="1" t="s">
        <v>582</v>
      </c>
      <c r="F4" s="1" t="s">
        <v>187</v>
      </c>
      <c r="G4" s="1" t="s">
        <v>583</v>
      </c>
      <c r="H4" s="1"/>
      <c r="I4" s="1"/>
      <c r="J4" s="1"/>
      <c r="K4" s="1"/>
      <c r="L4" s="1"/>
      <c r="M4" s="1"/>
      <c r="N4" s="1"/>
      <c r="O4" s="1"/>
      <c r="P4" s="1"/>
      <c r="Q4" s="1"/>
      <c r="R4" s="1"/>
      <c r="S4" s="1"/>
      <c r="T4" s="1"/>
      <c r="U4" s="1"/>
      <c r="V4" s="1"/>
      <c r="W4" s="1"/>
      <c r="X4" s="1"/>
      <c r="Y4" s="1"/>
      <c r="Z4" s="1"/>
    </row>
    <row r="5" spans="1:26" ht="54" customHeight="1">
      <c r="A5" s="1" t="s">
        <v>570</v>
      </c>
      <c r="B5" s="1" t="s">
        <v>584</v>
      </c>
      <c r="C5" s="1" t="s">
        <v>585</v>
      </c>
      <c r="D5" s="1" t="s">
        <v>586</v>
      </c>
      <c r="E5" s="1" t="s">
        <v>587</v>
      </c>
      <c r="F5" s="1" t="s">
        <v>187</v>
      </c>
      <c r="G5" s="1" t="s">
        <v>588</v>
      </c>
      <c r="H5" s="1"/>
      <c r="I5" s="1"/>
      <c r="J5" s="1"/>
      <c r="K5" s="1"/>
      <c r="L5" s="1"/>
      <c r="M5" s="1"/>
      <c r="N5" s="1"/>
      <c r="O5" s="1"/>
      <c r="P5" s="1"/>
      <c r="Q5" s="1"/>
      <c r="R5" s="1"/>
      <c r="S5" s="1"/>
      <c r="T5" s="1"/>
      <c r="U5" s="1"/>
      <c r="V5" s="1"/>
      <c r="W5" s="1"/>
      <c r="X5" s="1"/>
      <c r="Y5" s="1"/>
      <c r="Z5" s="1"/>
    </row>
    <row r="6" spans="1:26" ht="54" customHeight="1">
      <c r="A6" s="1" t="s">
        <v>570</v>
      </c>
      <c r="B6" s="1" t="s">
        <v>589</v>
      </c>
      <c r="C6" s="1" t="s">
        <v>572</v>
      </c>
      <c r="D6" s="1" t="s">
        <v>590</v>
      </c>
      <c r="E6" s="1" t="s">
        <v>591</v>
      </c>
      <c r="F6" s="1" t="s">
        <v>187</v>
      </c>
      <c r="G6" s="1" t="s">
        <v>592</v>
      </c>
      <c r="H6" s="1"/>
      <c r="I6" s="1"/>
      <c r="J6" s="1"/>
      <c r="K6" s="1"/>
      <c r="L6" s="1"/>
      <c r="M6" s="1"/>
      <c r="N6" s="1"/>
      <c r="O6" s="1"/>
      <c r="P6" s="1"/>
      <c r="Q6" s="1"/>
      <c r="R6" s="1"/>
      <c r="S6" s="1"/>
      <c r="T6" s="1"/>
      <c r="U6" s="1"/>
      <c r="V6" s="1"/>
      <c r="W6" s="1"/>
      <c r="X6" s="1"/>
      <c r="Y6" s="1"/>
      <c r="Z6" s="1"/>
    </row>
    <row r="7" spans="1:26" ht="54" customHeight="1">
      <c r="A7" s="1" t="s">
        <v>570</v>
      </c>
      <c r="B7" s="1" t="s">
        <v>593</v>
      </c>
      <c r="C7" s="1" t="s">
        <v>585</v>
      </c>
      <c r="D7" s="1" t="s">
        <v>594</v>
      </c>
      <c r="E7" s="1" t="s">
        <v>595</v>
      </c>
      <c r="F7" s="1" t="s">
        <v>187</v>
      </c>
      <c r="G7" s="1" t="s">
        <v>596</v>
      </c>
      <c r="H7" s="1"/>
      <c r="I7" s="1"/>
      <c r="J7" s="1"/>
      <c r="K7" s="1"/>
      <c r="L7" s="1"/>
      <c r="M7" s="1"/>
      <c r="N7" s="1"/>
      <c r="O7" s="1"/>
      <c r="P7" s="1"/>
      <c r="Q7" s="1"/>
      <c r="R7" s="1"/>
      <c r="S7" s="1"/>
      <c r="T7" s="1"/>
      <c r="U7" s="1"/>
      <c r="V7" s="1"/>
      <c r="W7" s="1"/>
      <c r="X7" s="1"/>
      <c r="Y7" s="1"/>
      <c r="Z7" s="1"/>
    </row>
    <row r="8" spans="1:26" ht="54" customHeight="1">
      <c r="A8" s="1" t="s">
        <v>570</v>
      </c>
      <c r="B8" s="1" t="s">
        <v>597</v>
      </c>
      <c r="C8" s="1" t="s">
        <v>598</v>
      </c>
      <c r="D8" s="1" t="s">
        <v>599</v>
      </c>
      <c r="E8" s="1" t="s">
        <v>600</v>
      </c>
      <c r="F8" s="1" t="s">
        <v>187</v>
      </c>
      <c r="G8" s="1" t="s">
        <v>601</v>
      </c>
      <c r="H8" s="1"/>
      <c r="I8" s="1"/>
      <c r="J8" s="1"/>
      <c r="K8" s="1"/>
      <c r="L8" s="1"/>
      <c r="M8" s="1"/>
      <c r="N8" s="1"/>
      <c r="O8" s="1"/>
      <c r="P8" s="1"/>
      <c r="Q8" s="1"/>
      <c r="R8" s="1"/>
      <c r="S8" s="1"/>
      <c r="T8" s="1"/>
      <c r="U8" s="1"/>
      <c r="V8" s="1"/>
      <c r="W8" s="1"/>
      <c r="X8" s="1"/>
      <c r="Y8" s="1"/>
      <c r="Z8" s="1"/>
    </row>
    <row r="9" spans="1:26" ht="54" customHeight="1">
      <c r="A9" s="1" t="s">
        <v>602</v>
      </c>
      <c r="B9" s="1" t="s">
        <v>603</v>
      </c>
      <c r="C9" s="1" t="s">
        <v>604</v>
      </c>
      <c r="D9" s="1" t="s">
        <v>605</v>
      </c>
      <c r="E9" s="1" t="s">
        <v>606</v>
      </c>
      <c r="F9" s="1" t="s">
        <v>196</v>
      </c>
      <c r="G9" s="1" t="s">
        <v>607</v>
      </c>
      <c r="H9" s="1"/>
      <c r="I9" s="1"/>
      <c r="J9" s="1"/>
      <c r="K9" s="1"/>
      <c r="L9" s="1"/>
      <c r="M9" s="1"/>
      <c r="N9" s="1"/>
      <c r="O9" s="1"/>
      <c r="P9" s="1"/>
      <c r="Q9" s="1"/>
      <c r="R9" s="1"/>
      <c r="S9" s="1"/>
      <c r="T9" s="1"/>
      <c r="U9" s="1"/>
      <c r="V9" s="1"/>
      <c r="W9" s="1"/>
      <c r="X9" s="1"/>
      <c r="Y9" s="1"/>
      <c r="Z9" s="1"/>
    </row>
    <row r="10" spans="1:26" ht="54" customHeight="1">
      <c r="A10" s="1" t="s">
        <v>602</v>
      </c>
      <c r="B10" s="1" t="s">
        <v>608</v>
      </c>
      <c r="C10" s="1" t="s">
        <v>604</v>
      </c>
      <c r="D10" s="1" t="s">
        <v>609</v>
      </c>
      <c r="E10" s="1" t="s">
        <v>610</v>
      </c>
      <c r="F10" s="1" t="s">
        <v>196</v>
      </c>
      <c r="G10" s="1" t="s">
        <v>611</v>
      </c>
      <c r="H10" s="1"/>
      <c r="I10" s="1"/>
      <c r="J10" s="1"/>
      <c r="K10" s="1"/>
      <c r="L10" s="1"/>
      <c r="M10" s="1"/>
      <c r="N10" s="1"/>
      <c r="O10" s="1"/>
      <c r="P10" s="1"/>
      <c r="Q10" s="1"/>
      <c r="R10" s="1"/>
      <c r="S10" s="1"/>
      <c r="T10" s="1"/>
      <c r="U10" s="1"/>
      <c r="V10" s="1"/>
      <c r="W10" s="1"/>
      <c r="X10" s="1"/>
      <c r="Y10" s="1"/>
      <c r="Z10" s="1"/>
    </row>
    <row r="11" spans="1:26" ht="54" customHeight="1">
      <c r="A11" s="1" t="s">
        <v>602</v>
      </c>
      <c r="B11" s="1" t="s">
        <v>612</v>
      </c>
      <c r="C11" s="1" t="s">
        <v>604</v>
      </c>
      <c r="D11" s="1" t="s">
        <v>613</v>
      </c>
      <c r="E11" s="1" t="s">
        <v>614</v>
      </c>
      <c r="F11" s="1" t="s">
        <v>196</v>
      </c>
      <c r="G11" s="1" t="s">
        <v>615</v>
      </c>
      <c r="H11" s="1"/>
      <c r="I11" s="1"/>
      <c r="J11" s="1"/>
      <c r="K11" s="1"/>
      <c r="L11" s="1"/>
      <c r="M11" s="1"/>
      <c r="N11" s="1"/>
      <c r="O11" s="1"/>
      <c r="P11" s="1"/>
      <c r="Q11" s="1"/>
      <c r="R11" s="1"/>
      <c r="S11" s="1"/>
      <c r="T11" s="1"/>
      <c r="U11" s="1"/>
      <c r="V11" s="1"/>
      <c r="W11" s="1"/>
      <c r="X11" s="1"/>
      <c r="Y11" s="1"/>
      <c r="Z11" s="1"/>
    </row>
    <row r="12" spans="1:26" ht="54" customHeight="1">
      <c r="A12" s="1" t="s">
        <v>602</v>
      </c>
      <c r="B12" s="1" t="s">
        <v>616</v>
      </c>
      <c r="C12" s="1" t="s">
        <v>617</v>
      </c>
      <c r="D12" s="1" t="s">
        <v>618</v>
      </c>
      <c r="E12" s="1" t="s">
        <v>619</v>
      </c>
      <c r="F12" s="1" t="s">
        <v>196</v>
      </c>
      <c r="G12" s="1" t="s">
        <v>620</v>
      </c>
      <c r="H12" s="1"/>
      <c r="I12" s="1"/>
      <c r="J12" s="1"/>
      <c r="K12" s="1"/>
      <c r="L12" s="1"/>
      <c r="M12" s="1"/>
      <c r="N12" s="1"/>
      <c r="O12" s="1"/>
      <c r="P12" s="1"/>
      <c r="Q12" s="1"/>
      <c r="R12" s="1"/>
      <c r="S12" s="1"/>
      <c r="T12" s="1"/>
      <c r="U12" s="1"/>
      <c r="V12" s="1"/>
      <c r="W12" s="1"/>
      <c r="X12" s="1"/>
      <c r="Y12" s="1"/>
      <c r="Z12" s="1"/>
    </row>
    <row r="13" spans="1:26" ht="54" customHeight="1">
      <c r="A13" s="1" t="s">
        <v>602</v>
      </c>
      <c r="B13" s="1" t="s">
        <v>621</v>
      </c>
      <c r="C13" s="1" t="s">
        <v>617</v>
      </c>
      <c r="D13" s="1" t="s">
        <v>622</v>
      </c>
      <c r="E13" s="1" t="s">
        <v>623</v>
      </c>
      <c r="F13" s="1" t="s">
        <v>196</v>
      </c>
      <c r="G13" s="1" t="s">
        <v>541</v>
      </c>
      <c r="H13" s="1"/>
      <c r="I13" s="1"/>
      <c r="J13" s="1"/>
      <c r="K13" s="1"/>
      <c r="L13" s="1"/>
      <c r="M13" s="1"/>
      <c r="N13" s="1"/>
      <c r="O13" s="1"/>
      <c r="P13" s="1"/>
      <c r="Q13" s="1"/>
      <c r="R13" s="1"/>
      <c r="S13" s="1"/>
      <c r="T13" s="1"/>
      <c r="U13" s="1"/>
      <c r="V13" s="1"/>
      <c r="W13" s="1"/>
      <c r="X13" s="1"/>
      <c r="Y13" s="1"/>
      <c r="Z13" s="1"/>
    </row>
    <row r="14" spans="1:26" ht="54" customHeight="1">
      <c r="A14" s="1" t="s">
        <v>624</v>
      </c>
      <c r="B14" s="1" t="s">
        <v>625</v>
      </c>
      <c r="C14" s="1" t="s">
        <v>604</v>
      </c>
      <c r="D14" s="1" t="s">
        <v>626</v>
      </c>
      <c r="E14" s="1" t="s">
        <v>627</v>
      </c>
      <c r="F14" s="1" t="s">
        <v>205</v>
      </c>
      <c r="G14" s="1" t="s">
        <v>628</v>
      </c>
      <c r="H14" s="1"/>
      <c r="I14" s="1"/>
      <c r="J14" s="1"/>
      <c r="K14" s="1"/>
      <c r="L14" s="1"/>
      <c r="M14" s="1"/>
      <c r="N14" s="1"/>
      <c r="O14" s="1"/>
      <c r="P14" s="1"/>
      <c r="Q14" s="1"/>
      <c r="R14" s="1"/>
      <c r="S14" s="1"/>
      <c r="T14" s="1"/>
      <c r="U14" s="1"/>
      <c r="V14" s="1"/>
      <c r="W14" s="1"/>
      <c r="X14" s="1"/>
      <c r="Y14" s="1"/>
      <c r="Z14" s="1"/>
    </row>
    <row r="15" spans="1:26" ht="54" customHeight="1">
      <c r="A15" s="1" t="s">
        <v>624</v>
      </c>
      <c r="B15" s="1" t="s">
        <v>629</v>
      </c>
      <c r="C15" s="1" t="s">
        <v>604</v>
      </c>
      <c r="D15" s="1" t="s">
        <v>630</v>
      </c>
      <c r="E15" s="1" t="s">
        <v>631</v>
      </c>
      <c r="F15" s="1" t="s">
        <v>205</v>
      </c>
      <c r="G15" s="1" t="s">
        <v>632</v>
      </c>
      <c r="H15" s="1"/>
      <c r="I15" s="1"/>
      <c r="J15" s="1"/>
      <c r="K15" s="1"/>
      <c r="L15" s="1"/>
      <c r="M15" s="1"/>
      <c r="N15" s="1"/>
      <c r="O15" s="1"/>
      <c r="P15" s="1"/>
      <c r="Q15" s="1"/>
      <c r="R15" s="1"/>
      <c r="S15" s="1"/>
      <c r="T15" s="1"/>
      <c r="U15" s="1"/>
      <c r="V15" s="1"/>
      <c r="W15" s="1"/>
      <c r="X15" s="1"/>
      <c r="Y15" s="1"/>
      <c r="Z15" s="1"/>
    </row>
    <row r="16" spans="1:26" ht="54" customHeight="1">
      <c r="A16" s="1" t="s">
        <v>624</v>
      </c>
      <c r="B16" s="1" t="s">
        <v>633</v>
      </c>
      <c r="C16" s="1" t="s">
        <v>634</v>
      </c>
      <c r="D16" s="1" t="s">
        <v>635</v>
      </c>
      <c r="E16" s="1" t="s">
        <v>636</v>
      </c>
      <c r="F16" s="1" t="s">
        <v>205</v>
      </c>
      <c r="G16" s="1" t="s">
        <v>406</v>
      </c>
      <c r="H16" s="1"/>
      <c r="I16" s="1"/>
      <c r="J16" s="1"/>
      <c r="K16" s="1"/>
      <c r="L16" s="1"/>
      <c r="M16" s="1"/>
      <c r="N16" s="1"/>
      <c r="O16" s="1"/>
      <c r="P16" s="1"/>
      <c r="Q16" s="1"/>
      <c r="R16" s="1"/>
      <c r="S16" s="1"/>
      <c r="T16" s="1"/>
      <c r="U16" s="1"/>
      <c r="V16" s="1"/>
      <c r="W16" s="1"/>
      <c r="X16" s="1"/>
      <c r="Y16" s="1"/>
      <c r="Z16" s="1"/>
    </row>
    <row r="17" spans="1:26" ht="54" customHeight="1">
      <c r="A17" s="1" t="s">
        <v>624</v>
      </c>
      <c r="B17" s="1" t="s">
        <v>637</v>
      </c>
      <c r="C17" s="1" t="s">
        <v>617</v>
      </c>
      <c r="D17" s="1" t="s">
        <v>638</v>
      </c>
      <c r="E17" s="1" t="s">
        <v>639</v>
      </c>
      <c r="F17" s="1" t="s">
        <v>205</v>
      </c>
      <c r="G17" s="1" t="s">
        <v>640</v>
      </c>
      <c r="H17" s="1"/>
      <c r="I17" s="1"/>
      <c r="J17" s="1"/>
      <c r="K17" s="1"/>
      <c r="L17" s="1"/>
      <c r="M17" s="1"/>
      <c r="N17" s="1"/>
      <c r="O17" s="1"/>
      <c r="P17" s="1"/>
      <c r="Q17" s="1"/>
      <c r="R17" s="1"/>
      <c r="S17" s="1"/>
      <c r="T17" s="1"/>
      <c r="U17" s="1"/>
      <c r="V17" s="1"/>
      <c r="W17" s="1"/>
      <c r="X17" s="1"/>
      <c r="Y17" s="1"/>
      <c r="Z17" s="1"/>
    </row>
    <row r="18" spans="1:26" ht="54" customHeight="1">
      <c r="A18" s="1" t="s">
        <v>146</v>
      </c>
      <c r="B18" s="1" t="s">
        <v>641</v>
      </c>
      <c r="C18" s="1" t="s">
        <v>642</v>
      </c>
      <c r="D18" s="1" t="s">
        <v>643</v>
      </c>
      <c r="E18" s="1" t="s">
        <v>644</v>
      </c>
      <c r="F18" s="1" t="s">
        <v>214</v>
      </c>
      <c r="G18" s="1" t="s">
        <v>223</v>
      </c>
      <c r="H18" s="1"/>
      <c r="I18" s="1"/>
      <c r="J18" s="1"/>
      <c r="K18" s="1"/>
      <c r="L18" s="1"/>
      <c r="M18" s="1"/>
      <c r="N18" s="1"/>
      <c r="O18" s="1"/>
      <c r="P18" s="1"/>
      <c r="Q18" s="1"/>
      <c r="R18" s="1"/>
      <c r="S18" s="1"/>
      <c r="T18" s="1"/>
      <c r="U18" s="1"/>
      <c r="V18" s="1"/>
      <c r="W18" s="1"/>
      <c r="X18" s="1"/>
      <c r="Y18" s="1"/>
      <c r="Z18" s="1"/>
    </row>
    <row r="19" spans="1:26" ht="54" customHeight="1">
      <c r="A19" s="1" t="s">
        <v>645</v>
      </c>
      <c r="B19" s="1" t="s">
        <v>646</v>
      </c>
      <c r="C19" s="1" t="s">
        <v>604</v>
      </c>
      <c r="D19" s="1" t="s">
        <v>647</v>
      </c>
      <c r="E19" s="1" t="s">
        <v>648</v>
      </c>
      <c r="F19" s="1" t="s">
        <v>214</v>
      </c>
      <c r="G19" s="1" t="s">
        <v>300</v>
      </c>
      <c r="H19" s="1"/>
      <c r="I19" s="1"/>
      <c r="J19" s="1"/>
      <c r="K19" s="1"/>
      <c r="L19" s="1"/>
      <c r="M19" s="1"/>
      <c r="N19" s="1"/>
      <c r="O19" s="1"/>
      <c r="P19" s="1"/>
      <c r="Q19" s="1"/>
      <c r="R19" s="1"/>
      <c r="S19" s="1"/>
      <c r="T19" s="1"/>
      <c r="U19" s="1"/>
      <c r="V19" s="1"/>
      <c r="W19" s="1"/>
      <c r="X19" s="1"/>
      <c r="Y19" s="1"/>
      <c r="Z19" s="1"/>
    </row>
    <row r="20" spans="1:26" ht="28.5">
      <c r="A20" s="1" t="s">
        <v>645</v>
      </c>
      <c r="B20" s="1" t="s">
        <v>649</v>
      </c>
      <c r="C20" s="1" t="s">
        <v>642</v>
      </c>
      <c r="D20" s="1" t="s">
        <v>650</v>
      </c>
      <c r="E20" s="1" t="s">
        <v>651</v>
      </c>
      <c r="F20" s="1" t="s">
        <v>214</v>
      </c>
      <c r="G20" s="1" t="s">
        <v>300</v>
      </c>
      <c r="H20" s="1"/>
      <c r="I20" s="1"/>
      <c r="J20" s="1"/>
      <c r="K20" s="1"/>
      <c r="L20" s="1"/>
      <c r="M20" s="1"/>
      <c r="N20" s="1"/>
      <c r="O20" s="1"/>
      <c r="P20" s="1"/>
      <c r="Q20" s="1"/>
      <c r="R20" s="1"/>
      <c r="S20" s="1"/>
      <c r="T20" s="1"/>
      <c r="U20" s="1"/>
      <c r="V20" s="1"/>
      <c r="W20" s="1"/>
      <c r="X20" s="1"/>
      <c r="Y20" s="1"/>
      <c r="Z20" s="1"/>
    </row>
    <row r="21" spans="1:26" ht="28.5">
      <c r="A21" s="1" t="s">
        <v>645</v>
      </c>
      <c r="B21" s="1" t="s">
        <v>652</v>
      </c>
      <c r="C21" s="1" t="s">
        <v>634</v>
      </c>
      <c r="D21" s="1" t="s">
        <v>653</v>
      </c>
      <c r="E21" s="1" t="s">
        <v>654</v>
      </c>
      <c r="F21" s="1" t="s">
        <v>214</v>
      </c>
      <c r="G21" s="1" t="s">
        <v>415</v>
      </c>
      <c r="H21" s="1"/>
      <c r="I21" s="1"/>
      <c r="J21" s="1"/>
      <c r="K21" s="1"/>
      <c r="L21" s="1"/>
      <c r="M21" s="1"/>
      <c r="N21" s="1"/>
      <c r="O21" s="1"/>
      <c r="P21" s="1"/>
      <c r="Q21" s="1"/>
      <c r="R21" s="1"/>
      <c r="S21" s="1"/>
      <c r="T21" s="1"/>
      <c r="U21" s="1"/>
      <c r="V21" s="1"/>
      <c r="W21" s="1"/>
      <c r="X21" s="1"/>
      <c r="Y21" s="1"/>
      <c r="Z21" s="1"/>
    </row>
    <row r="22" spans="1:26" ht="42.75">
      <c r="A22" s="1" t="s">
        <v>655</v>
      </c>
      <c r="B22" s="1" t="s">
        <v>656</v>
      </c>
      <c r="C22" s="1" t="s">
        <v>642</v>
      </c>
      <c r="D22" s="1" t="s">
        <v>657</v>
      </c>
      <c r="E22" s="1" t="s">
        <v>658</v>
      </c>
      <c r="F22" s="1" t="s">
        <v>214</v>
      </c>
      <c r="G22" s="1" t="s">
        <v>453</v>
      </c>
      <c r="H22" s="1"/>
      <c r="I22" s="1"/>
      <c r="J22" s="1"/>
      <c r="K22" s="1"/>
      <c r="L22" s="1"/>
      <c r="M22" s="1"/>
      <c r="N22" s="1"/>
      <c r="O22" s="1"/>
      <c r="P22" s="1"/>
      <c r="Q22" s="1"/>
      <c r="R22" s="1"/>
      <c r="S22" s="1"/>
      <c r="T22" s="1"/>
      <c r="U22" s="1"/>
      <c r="V22" s="1"/>
      <c r="W22" s="1"/>
      <c r="X22" s="1"/>
      <c r="Y22" s="1"/>
      <c r="Z22" s="1"/>
    </row>
    <row r="23" spans="1:26" ht="28.5">
      <c r="A23" s="1" t="s">
        <v>655</v>
      </c>
      <c r="B23" s="1" t="s">
        <v>659</v>
      </c>
      <c r="C23" s="1" t="s">
        <v>642</v>
      </c>
      <c r="D23" s="1" t="s">
        <v>660</v>
      </c>
      <c r="E23" s="1" t="s">
        <v>661</v>
      </c>
      <c r="F23" s="1" t="s">
        <v>214</v>
      </c>
      <c r="G23" s="1" t="s">
        <v>551</v>
      </c>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00"/>
  <sheetViews>
    <sheetView tabSelected="1" topLeftCell="HL1" workbookViewId="0"/>
  </sheetViews>
  <sheetFormatPr defaultRowHeight="14.25"/>
  <cols>
    <col min="1" max="1" width="12" customWidth="1"/>
    <col min="2" max="2" width="28" customWidth="1"/>
    <col min="3" max="3" width="58" customWidth="1"/>
    <col min="4" max="4" width="24" customWidth="1"/>
    <col min="5" max="5" width="34" customWidth="1"/>
  </cols>
  <sheetData>
    <row r="1" spans="1:26" ht="15">
      <c r="A1" s="2" t="s">
        <v>662</v>
      </c>
      <c r="B1" s="2" t="s">
        <v>663</v>
      </c>
      <c r="C1" s="2" t="s">
        <v>664</v>
      </c>
      <c r="D1" s="2" t="s">
        <v>665</v>
      </c>
      <c r="E1" s="2" t="s">
        <v>666</v>
      </c>
      <c r="F1" s="1"/>
      <c r="G1" s="1"/>
      <c r="H1" s="1"/>
      <c r="I1" s="1"/>
      <c r="J1" s="1"/>
      <c r="K1" s="1"/>
      <c r="L1" s="1"/>
      <c r="M1" s="1"/>
      <c r="N1" s="1"/>
      <c r="O1" s="1"/>
      <c r="P1" s="1"/>
      <c r="Q1" s="1"/>
      <c r="R1" s="1"/>
      <c r="S1" s="1"/>
      <c r="T1" s="1"/>
      <c r="U1" s="1"/>
      <c r="V1" s="1"/>
      <c r="W1" s="1"/>
      <c r="X1" s="1"/>
      <c r="Y1" s="1"/>
      <c r="Z1" s="1"/>
    </row>
    <row r="2" spans="1:26" ht="54" customHeight="1">
      <c r="A2" s="1" t="s">
        <v>667</v>
      </c>
      <c r="B2" s="1" t="s">
        <v>668</v>
      </c>
      <c r="C2" s="1" t="s">
        <v>669</v>
      </c>
      <c r="D2" s="1" t="s">
        <v>223</v>
      </c>
      <c r="E2" s="1" t="s">
        <v>670</v>
      </c>
      <c r="F2" s="1"/>
      <c r="G2" s="1"/>
      <c r="H2" s="1"/>
      <c r="I2" s="1"/>
      <c r="J2" s="1"/>
      <c r="K2" s="1"/>
      <c r="L2" s="1"/>
      <c r="M2" s="1"/>
      <c r="N2" s="1"/>
      <c r="O2" s="1"/>
      <c r="P2" s="1"/>
      <c r="Q2" s="1"/>
      <c r="R2" s="1"/>
      <c r="S2" s="1"/>
      <c r="T2" s="1"/>
      <c r="U2" s="1"/>
      <c r="V2" s="1"/>
      <c r="W2" s="1"/>
      <c r="X2" s="1"/>
      <c r="Y2" s="1"/>
      <c r="Z2" s="1"/>
    </row>
    <row r="3" spans="1:26" ht="54" customHeight="1">
      <c r="A3" s="1" t="s">
        <v>671</v>
      </c>
      <c r="B3" s="1" t="s">
        <v>672</v>
      </c>
      <c r="C3" s="1" t="s">
        <v>673</v>
      </c>
      <c r="D3" s="1" t="s">
        <v>232</v>
      </c>
      <c r="E3" s="1" t="s">
        <v>674</v>
      </c>
      <c r="F3" s="1"/>
      <c r="G3" s="1"/>
      <c r="H3" s="1"/>
      <c r="I3" s="1"/>
      <c r="J3" s="1"/>
      <c r="K3" s="1"/>
      <c r="L3" s="1"/>
      <c r="M3" s="1"/>
      <c r="N3" s="1"/>
      <c r="O3" s="1"/>
      <c r="P3" s="1"/>
      <c r="Q3" s="1"/>
      <c r="R3" s="1"/>
      <c r="S3" s="1"/>
      <c r="T3" s="1"/>
      <c r="U3" s="1"/>
      <c r="V3" s="1"/>
      <c r="W3" s="1"/>
      <c r="X3" s="1"/>
      <c r="Y3" s="1"/>
      <c r="Z3" s="1"/>
    </row>
    <row r="4" spans="1:26" ht="54" customHeight="1">
      <c r="A4" s="1" t="s">
        <v>675</v>
      </c>
      <c r="B4" s="1" t="s">
        <v>676</v>
      </c>
      <c r="C4" s="1" t="s">
        <v>677</v>
      </c>
      <c r="D4" s="1" t="s">
        <v>678</v>
      </c>
      <c r="E4" s="1" t="s">
        <v>679</v>
      </c>
      <c r="F4" s="1"/>
      <c r="G4" s="1"/>
      <c r="H4" s="1"/>
      <c r="I4" s="1"/>
      <c r="J4" s="1"/>
      <c r="K4" s="1"/>
      <c r="L4" s="1"/>
      <c r="M4" s="1"/>
      <c r="N4" s="1"/>
      <c r="O4" s="1"/>
      <c r="P4" s="1"/>
      <c r="Q4" s="1"/>
      <c r="R4" s="1"/>
      <c r="S4" s="1"/>
      <c r="T4" s="1"/>
      <c r="U4" s="1"/>
      <c r="V4" s="1"/>
      <c r="W4" s="1"/>
      <c r="X4" s="1"/>
      <c r="Y4" s="1"/>
      <c r="Z4" s="1"/>
    </row>
    <row r="5" spans="1:26" ht="54" customHeight="1">
      <c r="A5" s="1" t="s">
        <v>680</v>
      </c>
      <c r="B5" s="1" t="s">
        <v>681</v>
      </c>
      <c r="C5" s="1" t="s">
        <v>682</v>
      </c>
      <c r="D5" s="1" t="s">
        <v>683</v>
      </c>
      <c r="E5" s="1" t="s">
        <v>684</v>
      </c>
      <c r="F5" s="1"/>
      <c r="G5" s="1"/>
      <c r="H5" s="1"/>
      <c r="I5" s="1"/>
      <c r="J5" s="1"/>
      <c r="K5" s="1"/>
      <c r="L5" s="1"/>
      <c r="M5" s="1"/>
      <c r="N5" s="1"/>
      <c r="O5" s="1"/>
      <c r="P5" s="1"/>
      <c r="Q5" s="1"/>
      <c r="R5" s="1"/>
      <c r="S5" s="1"/>
      <c r="T5" s="1"/>
      <c r="U5" s="1"/>
      <c r="V5" s="1"/>
      <c r="W5" s="1"/>
      <c r="X5" s="1"/>
      <c r="Y5" s="1"/>
      <c r="Z5" s="1"/>
    </row>
    <row r="6" spans="1:26" ht="54" customHeight="1">
      <c r="A6" s="1" t="s">
        <v>685</v>
      </c>
      <c r="B6" s="1" t="s">
        <v>686</v>
      </c>
      <c r="C6" s="1" t="s">
        <v>687</v>
      </c>
      <c r="D6" s="1" t="s">
        <v>310</v>
      </c>
      <c r="E6" s="1" t="s">
        <v>688</v>
      </c>
      <c r="F6" s="1"/>
      <c r="G6" s="1"/>
      <c r="H6" s="1"/>
      <c r="I6" s="1"/>
      <c r="J6" s="1"/>
      <c r="K6" s="1"/>
      <c r="L6" s="1"/>
      <c r="M6" s="1"/>
      <c r="N6" s="1"/>
      <c r="O6" s="1"/>
      <c r="P6" s="1"/>
      <c r="Q6" s="1"/>
      <c r="R6" s="1"/>
      <c r="S6" s="1"/>
      <c r="T6" s="1"/>
      <c r="U6" s="1"/>
      <c r="V6" s="1"/>
      <c r="W6" s="1"/>
      <c r="X6" s="1"/>
      <c r="Y6" s="1"/>
      <c r="Z6" s="1"/>
    </row>
    <row r="7" spans="1:26" ht="54" customHeight="1">
      <c r="A7" s="1" t="s">
        <v>689</v>
      </c>
      <c r="B7" s="1" t="s">
        <v>690</v>
      </c>
      <c r="C7" s="1" t="s">
        <v>691</v>
      </c>
      <c r="D7" s="1" t="s">
        <v>310</v>
      </c>
      <c r="E7" s="1" t="s">
        <v>692</v>
      </c>
      <c r="F7" s="1"/>
      <c r="G7" s="1"/>
      <c r="H7" s="1"/>
      <c r="I7" s="1"/>
      <c r="J7" s="1"/>
      <c r="K7" s="1"/>
      <c r="L7" s="1"/>
      <c r="M7" s="1"/>
      <c r="N7" s="1"/>
      <c r="O7" s="1"/>
      <c r="P7" s="1"/>
      <c r="Q7" s="1"/>
      <c r="R7" s="1"/>
      <c r="S7" s="1"/>
      <c r="T7" s="1"/>
      <c r="U7" s="1"/>
      <c r="V7" s="1"/>
      <c r="W7" s="1"/>
      <c r="X7" s="1"/>
      <c r="Y7" s="1"/>
      <c r="Z7" s="1"/>
    </row>
    <row r="8" spans="1:26" ht="54" customHeight="1">
      <c r="A8" s="1" t="s">
        <v>693</v>
      </c>
      <c r="B8" s="1" t="s">
        <v>694</v>
      </c>
      <c r="C8" s="1" t="s">
        <v>695</v>
      </c>
      <c r="D8" s="1" t="s">
        <v>511</v>
      </c>
      <c r="E8" s="1" t="s">
        <v>696</v>
      </c>
      <c r="F8" s="1"/>
      <c r="G8" s="1"/>
      <c r="H8" s="1"/>
      <c r="I8" s="1"/>
      <c r="J8" s="1"/>
      <c r="K8" s="1"/>
      <c r="L8" s="1"/>
      <c r="M8" s="1"/>
      <c r="N8" s="1"/>
      <c r="O8" s="1"/>
      <c r="P8" s="1"/>
      <c r="Q8" s="1"/>
      <c r="R8" s="1"/>
      <c r="S8" s="1"/>
      <c r="T8" s="1"/>
      <c r="U8" s="1"/>
      <c r="V8" s="1"/>
      <c r="W8" s="1"/>
      <c r="X8" s="1"/>
      <c r="Y8" s="1"/>
      <c r="Z8" s="1"/>
    </row>
    <row r="9" spans="1:26" ht="54" customHeight="1">
      <c r="A9" s="1" t="s">
        <v>697</v>
      </c>
      <c r="B9" s="1" t="s">
        <v>698</v>
      </c>
      <c r="C9" s="1" t="s">
        <v>699</v>
      </c>
      <c r="D9" s="1" t="s">
        <v>700</v>
      </c>
      <c r="E9" s="1" t="s">
        <v>701</v>
      </c>
      <c r="F9" s="1"/>
      <c r="G9" s="1"/>
      <c r="H9" s="1"/>
      <c r="I9" s="1"/>
      <c r="J9" s="1"/>
      <c r="K9" s="1"/>
      <c r="L9" s="1"/>
      <c r="M9" s="1"/>
      <c r="N9" s="1"/>
      <c r="O9" s="1"/>
      <c r="P9" s="1"/>
      <c r="Q9" s="1"/>
      <c r="R9" s="1"/>
      <c r="S9" s="1"/>
      <c r="T9" s="1"/>
      <c r="U9" s="1"/>
      <c r="V9" s="1"/>
      <c r="W9" s="1"/>
      <c r="X9" s="1"/>
      <c r="Y9" s="1"/>
      <c r="Z9" s="1"/>
    </row>
    <row r="10" spans="1:26" ht="54" customHeight="1">
      <c r="A10" s="1" t="s">
        <v>702</v>
      </c>
      <c r="B10" s="1" t="s">
        <v>703</v>
      </c>
      <c r="C10" s="1" t="s">
        <v>704</v>
      </c>
      <c r="D10" s="1" t="s">
        <v>330</v>
      </c>
      <c r="E10" s="1" t="s">
        <v>705</v>
      </c>
      <c r="F10" s="1"/>
      <c r="G10" s="1"/>
      <c r="H10" s="1"/>
      <c r="I10" s="1"/>
      <c r="J10" s="1"/>
      <c r="K10" s="1"/>
      <c r="L10" s="1"/>
      <c r="M10" s="1"/>
      <c r="N10" s="1"/>
      <c r="O10" s="1"/>
      <c r="P10" s="1"/>
      <c r="Q10" s="1"/>
      <c r="R10" s="1"/>
      <c r="S10" s="1"/>
      <c r="T10" s="1"/>
      <c r="U10" s="1"/>
      <c r="V10" s="1"/>
      <c r="W10" s="1"/>
      <c r="X10" s="1"/>
      <c r="Y10" s="1"/>
      <c r="Z10" s="1"/>
    </row>
    <row r="11" spans="1:26" ht="54" customHeight="1">
      <c r="A11" s="1" t="s">
        <v>706</v>
      </c>
      <c r="B11" s="1" t="s">
        <v>707</v>
      </c>
      <c r="C11" s="1" t="s">
        <v>708</v>
      </c>
      <c r="D11" s="1" t="s">
        <v>340</v>
      </c>
      <c r="E11" s="1" t="s">
        <v>709</v>
      </c>
      <c r="F11" s="1"/>
      <c r="G11" s="1"/>
      <c r="H11" s="1"/>
      <c r="I11" s="1"/>
      <c r="J11" s="1"/>
      <c r="K11" s="1"/>
      <c r="L11" s="1"/>
      <c r="M11" s="1"/>
      <c r="N11" s="1"/>
      <c r="O11" s="1"/>
      <c r="P11" s="1"/>
      <c r="Q11" s="1"/>
      <c r="R11" s="1"/>
      <c r="S11" s="1"/>
      <c r="T11" s="1"/>
      <c r="U11" s="1"/>
      <c r="V11" s="1"/>
      <c r="W11" s="1"/>
      <c r="X11" s="1"/>
      <c r="Y11" s="1"/>
      <c r="Z11" s="1"/>
    </row>
    <row r="12" spans="1:26" ht="54" customHeight="1">
      <c r="A12" s="1" t="s">
        <v>710</v>
      </c>
      <c r="B12" s="1" t="s">
        <v>711</v>
      </c>
      <c r="C12" s="1" t="s">
        <v>712</v>
      </c>
      <c r="D12" s="1" t="s">
        <v>713</v>
      </c>
      <c r="E12" s="1" t="s">
        <v>714</v>
      </c>
      <c r="F12" s="1"/>
      <c r="G12" s="1"/>
      <c r="H12" s="1"/>
      <c r="I12" s="1"/>
      <c r="J12" s="1"/>
      <c r="K12" s="1"/>
      <c r="L12" s="1"/>
      <c r="M12" s="1"/>
      <c r="N12" s="1"/>
      <c r="O12" s="1"/>
      <c r="P12" s="1"/>
      <c r="Q12" s="1"/>
      <c r="R12" s="1"/>
      <c r="S12" s="1"/>
      <c r="T12" s="1"/>
      <c r="U12" s="1"/>
      <c r="V12" s="1"/>
      <c r="W12" s="1"/>
      <c r="X12" s="1"/>
      <c r="Y12" s="1"/>
      <c r="Z12" s="1"/>
    </row>
    <row r="13" spans="1:26" ht="54" customHeight="1">
      <c r="A13" s="1" t="s">
        <v>715</v>
      </c>
      <c r="B13" s="1" t="s">
        <v>716</v>
      </c>
      <c r="C13" s="1" t="s">
        <v>717</v>
      </c>
      <c r="D13" s="1" t="s">
        <v>718</v>
      </c>
      <c r="E13" s="1" t="s">
        <v>719</v>
      </c>
      <c r="F13" s="1"/>
      <c r="G13" s="1"/>
      <c r="H13" s="1"/>
      <c r="I13" s="1"/>
      <c r="J13" s="1"/>
      <c r="K13" s="1"/>
      <c r="L13" s="1"/>
      <c r="M13" s="1"/>
      <c r="N13" s="1"/>
      <c r="O13" s="1"/>
      <c r="P13" s="1"/>
      <c r="Q13" s="1"/>
      <c r="R13" s="1"/>
      <c r="S13" s="1"/>
      <c r="T13" s="1"/>
      <c r="U13" s="1"/>
      <c r="V13" s="1"/>
      <c r="W13" s="1"/>
      <c r="X13" s="1"/>
      <c r="Y13" s="1"/>
      <c r="Z13" s="1"/>
    </row>
    <row r="14" spans="1:26" ht="54" customHeight="1">
      <c r="A14" s="1" t="s">
        <v>720</v>
      </c>
      <c r="B14" s="1" t="s">
        <v>721</v>
      </c>
      <c r="C14" s="1" t="s">
        <v>722</v>
      </c>
      <c r="D14" s="1" t="s">
        <v>723</v>
      </c>
      <c r="E14" s="1" t="s">
        <v>724</v>
      </c>
      <c r="F14" s="1"/>
      <c r="G14" s="1"/>
      <c r="H14" s="1"/>
      <c r="I14" s="1"/>
      <c r="J14" s="1"/>
      <c r="K14" s="1"/>
      <c r="L14" s="1"/>
      <c r="M14" s="1"/>
      <c r="N14" s="1"/>
      <c r="O14" s="1"/>
      <c r="P14" s="1"/>
      <c r="Q14" s="1"/>
      <c r="R14" s="1"/>
      <c r="S14" s="1"/>
      <c r="T14" s="1"/>
      <c r="U14" s="1"/>
      <c r="V14" s="1"/>
      <c r="W14" s="1"/>
      <c r="X14" s="1"/>
      <c r="Y14" s="1"/>
      <c r="Z14" s="1"/>
    </row>
    <row r="15" spans="1:26" ht="54" customHeight="1">
      <c r="A15" s="1" t="s">
        <v>725</v>
      </c>
      <c r="B15" s="1" t="s">
        <v>726</v>
      </c>
      <c r="C15" s="1" t="s">
        <v>727</v>
      </c>
      <c r="D15" s="1" t="s">
        <v>728</v>
      </c>
      <c r="E15" s="1" t="s">
        <v>729</v>
      </c>
      <c r="F15" s="1"/>
      <c r="G15" s="1"/>
      <c r="H15" s="1"/>
      <c r="I15" s="1"/>
      <c r="J15" s="1"/>
      <c r="K15" s="1"/>
      <c r="L15" s="1"/>
      <c r="M15" s="1"/>
      <c r="N15" s="1"/>
      <c r="O15" s="1"/>
      <c r="P15" s="1"/>
      <c r="Q15" s="1"/>
      <c r="R15" s="1"/>
      <c r="S15" s="1"/>
      <c r="T15" s="1"/>
      <c r="U15" s="1"/>
      <c r="V15" s="1"/>
      <c r="W15" s="1"/>
      <c r="X15" s="1"/>
      <c r="Y15" s="1"/>
      <c r="Z15" s="1"/>
    </row>
    <row r="16" spans="1:26" ht="57">
      <c r="A16" s="1" t="s">
        <v>730</v>
      </c>
      <c r="B16" s="1" t="s">
        <v>731</v>
      </c>
      <c r="C16" s="1" t="s">
        <v>732</v>
      </c>
      <c r="D16" s="1" t="s">
        <v>187</v>
      </c>
      <c r="E16" s="1" t="s">
        <v>733</v>
      </c>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00"/>
  <sheetViews>
    <sheetView workbookViewId="0"/>
  </sheetViews>
  <sheetFormatPr defaultRowHeight="14.25"/>
  <cols>
    <col min="1" max="1" width="14" customWidth="1"/>
    <col min="2" max="2" width="22" customWidth="1"/>
    <col min="3" max="3" width="14" customWidth="1"/>
    <col min="4" max="4" width="58" customWidth="1"/>
    <col min="5" max="5" width="22" customWidth="1"/>
  </cols>
  <sheetData>
    <row r="1" spans="1:26" ht="15">
      <c r="A1" s="2" t="s">
        <v>734</v>
      </c>
      <c r="B1" s="2" t="s">
        <v>735</v>
      </c>
      <c r="C1" s="2" t="s">
        <v>565</v>
      </c>
      <c r="D1" s="2" t="s">
        <v>736</v>
      </c>
      <c r="E1" s="2" t="s">
        <v>737</v>
      </c>
      <c r="F1" s="1"/>
      <c r="G1" s="1"/>
      <c r="H1" s="1"/>
      <c r="I1" s="1"/>
      <c r="J1" s="1"/>
      <c r="K1" s="1"/>
      <c r="L1" s="1"/>
      <c r="M1" s="1"/>
      <c r="N1" s="1"/>
      <c r="O1" s="1"/>
      <c r="P1" s="1"/>
      <c r="Q1" s="1"/>
      <c r="R1" s="1"/>
      <c r="S1" s="1"/>
      <c r="T1" s="1"/>
      <c r="U1" s="1"/>
      <c r="V1" s="1"/>
      <c r="W1" s="1"/>
      <c r="X1" s="1"/>
      <c r="Y1" s="1"/>
      <c r="Z1" s="1"/>
    </row>
    <row r="2" spans="1:26" ht="54" customHeight="1">
      <c r="A2" s="1" t="s">
        <v>738</v>
      </c>
      <c r="B2" s="1" t="s">
        <v>470</v>
      </c>
      <c r="C2" s="1" t="s">
        <v>739</v>
      </c>
      <c r="D2" s="1" t="s">
        <v>740</v>
      </c>
      <c r="E2" s="1" t="s">
        <v>177</v>
      </c>
      <c r="F2" s="1"/>
      <c r="G2" s="1"/>
      <c r="H2" s="1"/>
      <c r="I2" s="1"/>
      <c r="J2" s="1"/>
      <c r="K2" s="1"/>
      <c r="L2" s="1"/>
      <c r="M2" s="1"/>
      <c r="N2" s="1"/>
      <c r="O2" s="1"/>
      <c r="P2" s="1"/>
      <c r="Q2" s="1"/>
      <c r="R2" s="1"/>
      <c r="S2" s="1"/>
      <c r="T2" s="1"/>
      <c r="U2" s="1"/>
      <c r="V2" s="1"/>
      <c r="W2" s="1"/>
      <c r="X2" s="1"/>
      <c r="Y2" s="1"/>
      <c r="Z2" s="1"/>
    </row>
    <row r="3" spans="1:26" ht="54" customHeight="1">
      <c r="A3" s="1" t="s">
        <v>741</v>
      </c>
      <c r="B3" s="1" t="s">
        <v>742</v>
      </c>
      <c r="C3" s="1" t="s">
        <v>743</v>
      </c>
      <c r="D3" s="1" t="s">
        <v>744</v>
      </c>
      <c r="E3" s="1" t="s">
        <v>252</v>
      </c>
      <c r="F3" s="1"/>
      <c r="G3" s="1"/>
      <c r="H3" s="1"/>
      <c r="I3" s="1"/>
      <c r="J3" s="1"/>
      <c r="K3" s="1"/>
      <c r="L3" s="1"/>
      <c r="M3" s="1"/>
      <c r="N3" s="1"/>
      <c r="O3" s="1"/>
      <c r="P3" s="1"/>
      <c r="Q3" s="1"/>
      <c r="R3" s="1"/>
      <c r="S3" s="1"/>
      <c r="T3" s="1"/>
      <c r="U3" s="1"/>
      <c r="V3" s="1"/>
      <c r="W3" s="1"/>
      <c r="X3" s="1"/>
      <c r="Y3" s="1"/>
      <c r="Z3" s="1"/>
    </row>
    <row r="4" spans="1:26" ht="54" customHeight="1">
      <c r="A4" s="1" t="s">
        <v>745</v>
      </c>
      <c r="B4" s="1" t="s">
        <v>476</v>
      </c>
      <c r="C4" s="1" t="s">
        <v>739</v>
      </c>
      <c r="D4" s="1" t="s">
        <v>746</v>
      </c>
      <c r="E4" s="1" t="s">
        <v>262</v>
      </c>
      <c r="F4" s="1"/>
      <c r="G4" s="1"/>
      <c r="H4" s="1"/>
      <c r="I4" s="1"/>
      <c r="J4" s="1"/>
      <c r="K4" s="1"/>
      <c r="L4" s="1"/>
      <c r="M4" s="1"/>
      <c r="N4" s="1"/>
      <c r="O4" s="1"/>
      <c r="P4" s="1"/>
      <c r="Q4" s="1"/>
      <c r="R4" s="1"/>
      <c r="S4" s="1"/>
      <c r="T4" s="1"/>
      <c r="U4" s="1"/>
      <c r="V4" s="1"/>
      <c r="W4" s="1"/>
      <c r="X4" s="1"/>
      <c r="Y4" s="1"/>
      <c r="Z4" s="1"/>
    </row>
    <row r="5" spans="1:26" ht="54" customHeight="1">
      <c r="A5" s="1" t="s">
        <v>747</v>
      </c>
      <c r="B5" s="1" t="s">
        <v>748</v>
      </c>
      <c r="C5" s="1" t="s">
        <v>743</v>
      </c>
      <c r="D5" s="1" t="s">
        <v>749</v>
      </c>
      <c r="E5" s="1" t="s">
        <v>360</v>
      </c>
      <c r="F5" s="1"/>
      <c r="G5" s="1"/>
      <c r="H5" s="1"/>
      <c r="I5" s="1"/>
      <c r="J5" s="1"/>
      <c r="K5" s="1"/>
      <c r="L5" s="1"/>
      <c r="M5" s="1"/>
      <c r="N5" s="1"/>
      <c r="O5" s="1"/>
      <c r="P5" s="1"/>
      <c r="Q5" s="1"/>
      <c r="R5" s="1"/>
      <c r="S5" s="1"/>
      <c r="T5" s="1"/>
      <c r="U5" s="1"/>
      <c r="V5" s="1"/>
      <c r="W5" s="1"/>
      <c r="X5" s="1"/>
      <c r="Y5" s="1"/>
      <c r="Z5" s="1"/>
    </row>
    <row r="6" spans="1:26" ht="54" customHeight="1">
      <c r="A6" s="1" t="s">
        <v>750</v>
      </c>
      <c r="B6" s="1" t="s">
        <v>481</v>
      </c>
      <c r="C6" s="1" t="s">
        <v>739</v>
      </c>
      <c r="D6" s="1" t="s">
        <v>751</v>
      </c>
      <c r="E6" s="1" t="s">
        <v>370</v>
      </c>
      <c r="F6" s="1"/>
      <c r="G6" s="1"/>
      <c r="H6" s="1"/>
      <c r="I6" s="1"/>
      <c r="J6" s="1"/>
      <c r="K6" s="1"/>
      <c r="L6" s="1"/>
      <c r="M6" s="1"/>
      <c r="N6" s="1"/>
      <c r="O6" s="1"/>
      <c r="P6" s="1"/>
      <c r="Q6" s="1"/>
      <c r="R6" s="1"/>
      <c r="S6" s="1"/>
      <c r="T6" s="1"/>
      <c r="U6" s="1"/>
      <c r="V6" s="1"/>
      <c r="W6" s="1"/>
      <c r="X6" s="1"/>
      <c r="Y6" s="1"/>
      <c r="Z6" s="1"/>
    </row>
    <row r="7" spans="1:26" ht="54" customHeight="1">
      <c r="A7" s="1" t="s">
        <v>752</v>
      </c>
      <c r="B7" s="1" t="s">
        <v>753</v>
      </c>
      <c r="C7" s="1" t="s">
        <v>754</v>
      </c>
      <c r="D7" s="1" t="s">
        <v>755</v>
      </c>
      <c r="E7" s="1" t="s">
        <v>756</v>
      </c>
      <c r="F7" s="1"/>
      <c r="G7" s="1"/>
      <c r="H7" s="1"/>
      <c r="I7" s="1"/>
      <c r="J7" s="1"/>
      <c r="K7" s="1"/>
      <c r="L7" s="1"/>
      <c r="M7" s="1"/>
      <c r="N7" s="1"/>
      <c r="O7" s="1"/>
      <c r="P7" s="1"/>
      <c r="Q7" s="1"/>
      <c r="R7" s="1"/>
      <c r="S7" s="1"/>
      <c r="T7" s="1"/>
      <c r="U7" s="1"/>
      <c r="V7" s="1"/>
      <c r="W7" s="1"/>
      <c r="X7" s="1"/>
      <c r="Y7" s="1"/>
      <c r="Z7" s="1"/>
    </row>
    <row r="8" spans="1:26" ht="54" customHeight="1">
      <c r="A8" s="1" t="s">
        <v>757</v>
      </c>
      <c r="B8" s="1" t="s">
        <v>758</v>
      </c>
      <c r="C8" s="1" t="s">
        <v>743</v>
      </c>
      <c r="D8" s="1" t="s">
        <v>759</v>
      </c>
      <c r="E8" s="1" t="s">
        <v>443</v>
      </c>
      <c r="F8" s="1"/>
      <c r="G8" s="1"/>
      <c r="H8" s="1"/>
      <c r="I8" s="1"/>
      <c r="J8" s="1"/>
      <c r="K8" s="1"/>
      <c r="L8" s="1"/>
      <c r="M8" s="1"/>
      <c r="N8" s="1"/>
      <c r="O8" s="1"/>
      <c r="P8" s="1"/>
      <c r="Q8" s="1"/>
      <c r="R8" s="1"/>
      <c r="S8" s="1"/>
      <c r="T8" s="1"/>
      <c r="U8" s="1"/>
      <c r="V8" s="1"/>
      <c r="W8" s="1"/>
      <c r="X8" s="1"/>
      <c r="Y8" s="1"/>
      <c r="Z8" s="1"/>
    </row>
    <row r="9" spans="1:26" ht="54" customHeight="1">
      <c r="A9" s="1" t="s">
        <v>760</v>
      </c>
      <c r="B9" s="1" t="s">
        <v>486</v>
      </c>
      <c r="C9" s="1" t="s">
        <v>739</v>
      </c>
      <c r="D9" s="1" t="s">
        <v>761</v>
      </c>
      <c r="E9" s="1" t="s">
        <v>453</v>
      </c>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00"/>
  <sheetViews>
    <sheetView workbookViewId="0"/>
  </sheetViews>
  <sheetFormatPr defaultRowHeight="14.25"/>
  <cols>
    <col min="1" max="1" width="12" customWidth="1"/>
    <col min="2" max="2" width="26" customWidth="1"/>
    <col min="3" max="3" width="16" customWidth="1"/>
    <col min="4" max="4" width="48" customWidth="1"/>
    <col min="5" max="5" width="38" customWidth="1"/>
    <col min="6" max="6" width="52" customWidth="1"/>
    <col min="7" max="7" width="18" customWidth="1"/>
    <col min="8" max="8" width="10" customWidth="1"/>
    <col min="9" max="9" width="12" customWidth="1"/>
  </cols>
  <sheetData>
    <row r="1" spans="1:26" ht="15">
      <c r="A1" s="2" t="s">
        <v>762</v>
      </c>
      <c r="B1" s="2" t="s">
        <v>763</v>
      </c>
      <c r="C1" s="2" t="s">
        <v>4</v>
      </c>
      <c r="D1" s="2" t="s">
        <v>566</v>
      </c>
      <c r="E1" s="2" t="s">
        <v>764</v>
      </c>
      <c r="F1" s="2" t="s">
        <v>765</v>
      </c>
      <c r="G1" s="2" t="s">
        <v>766</v>
      </c>
      <c r="H1" s="2" t="s">
        <v>64</v>
      </c>
      <c r="I1" s="2" t="s">
        <v>70</v>
      </c>
      <c r="J1" s="1"/>
      <c r="K1" s="1"/>
      <c r="L1" s="1"/>
      <c r="M1" s="1"/>
      <c r="N1" s="1"/>
      <c r="O1" s="1"/>
      <c r="P1" s="1"/>
      <c r="Q1" s="1"/>
      <c r="R1" s="1"/>
      <c r="S1" s="1"/>
      <c r="T1" s="1"/>
      <c r="U1" s="1"/>
      <c r="V1" s="1"/>
      <c r="W1" s="1"/>
      <c r="X1" s="1"/>
      <c r="Y1" s="1"/>
      <c r="Z1" s="1"/>
    </row>
    <row r="2" spans="1:26" ht="54" customHeight="1">
      <c r="A2" s="1" t="s">
        <v>767</v>
      </c>
      <c r="B2" s="1" t="s">
        <v>768</v>
      </c>
      <c r="C2" s="1" t="s">
        <v>769</v>
      </c>
      <c r="D2" s="1" t="s">
        <v>770</v>
      </c>
      <c r="E2" s="1" t="s">
        <v>771</v>
      </c>
      <c r="F2" s="1" t="s">
        <v>772</v>
      </c>
      <c r="G2" s="1" t="s">
        <v>773</v>
      </c>
      <c r="H2" s="1" t="s">
        <v>774</v>
      </c>
      <c r="I2" s="1" t="s">
        <v>176</v>
      </c>
      <c r="J2" s="1"/>
      <c r="K2" s="1"/>
      <c r="L2" s="1"/>
      <c r="M2" s="1"/>
      <c r="N2" s="1"/>
      <c r="O2" s="1"/>
      <c r="P2" s="1"/>
      <c r="Q2" s="1"/>
      <c r="R2" s="1"/>
      <c r="S2" s="1"/>
      <c r="T2" s="1"/>
      <c r="U2" s="1"/>
      <c r="V2" s="1"/>
      <c r="W2" s="1"/>
      <c r="X2" s="1"/>
      <c r="Y2" s="1"/>
      <c r="Z2" s="1"/>
    </row>
    <row r="3" spans="1:26" ht="54" customHeight="1">
      <c r="A3" s="1" t="s">
        <v>775</v>
      </c>
      <c r="B3" s="1" t="s">
        <v>776</v>
      </c>
      <c r="C3" s="1" t="s">
        <v>769</v>
      </c>
      <c r="D3" s="1" t="s">
        <v>777</v>
      </c>
      <c r="E3" s="1" t="s">
        <v>771</v>
      </c>
      <c r="F3" s="1" t="s">
        <v>778</v>
      </c>
      <c r="G3" s="1" t="s">
        <v>773</v>
      </c>
      <c r="H3" s="1" t="s">
        <v>774</v>
      </c>
      <c r="I3" s="1" t="s">
        <v>176</v>
      </c>
      <c r="J3" s="1"/>
      <c r="K3" s="1"/>
      <c r="L3" s="1"/>
      <c r="M3" s="1"/>
      <c r="N3" s="1"/>
      <c r="O3" s="1"/>
      <c r="P3" s="1"/>
      <c r="Q3" s="1"/>
      <c r="R3" s="1"/>
      <c r="S3" s="1"/>
      <c r="T3" s="1"/>
      <c r="U3" s="1"/>
      <c r="V3" s="1"/>
      <c r="W3" s="1"/>
      <c r="X3" s="1"/>
      <c r="Y3" s="1"/>
      <c r="Z3" s="1"/>
    </row>
    <row r="4" spans="1:26" ht="54" customHeight="1">
      <c r="A4" s="1" t="s">
        <v>779</v>
      </c>
      <c r="B4" s="1" t="s">
        <v>780</v>
      </c>
      <c r="C4" s="1" t="s">
        <v>769</v>
      </c>
      <c r="D4" s="1" t="s">
        <v>781</v>
      </c>
      <c r="E4" s="1" t="s">
        <v>782</v>
      </c>
      <c r="F4" s="1" t="s">
        <v>783</v>
      </c>
      <c r="G4" s="1" t="s">
        <v>773</v>
      </c>
      <c r="H4" s="1" t="s">
        <v>774</v>
      </c>
      <c r="I4" s="1" t="s">
        <v>176</v>
      </c>
      <c r="J4" s="1"/>
      <c r="K4" s="1"/>
      <c r="L4" s="1"/>
      <c r="M4" s="1"/>
      <c r="N4" s="1"/>
      <c r="O4" s="1"/>
      <c r="P4" s="1"/>
      <c r="Q4" s="1"/>
      <c r="R4" s="1"/>
      <c r="S4" s="1"/>
      <c r="T4" s="1"/>
      <c r="U4" s="1"/>
      <c r="V4" s="1"/>
      <c r="W4" s="1"/>
      <c r="X4" s="1"/>
      <c r="Y4" s="1"/>
      <c r="Z4" s="1"/>
    </row>
    <row r="5" spans="1:26" ht="54" customHeight="1">
      <c r="A5" s="1" t="s">
        <v>784</v>
      </c>
      <c r="B5" s="1" t="s">
        <v>785</v>
      </c>
      <c r="C5" s="1" t="s">
        <v>786</v>
      </c>
      <c r="D5" s="1" t="s">
        <v>787</v>
      </c>
      <c r="E5" s="1" t="s">
        <v>788</v>
      </c>
      <c r="F5" s="1" t="s">
        <v>789</v>
      </c>
      <c r="G5" s="1" t="s">
        <v>773</v>
      </c>
      <c r="H5" s="1" t="s">
        <v>774</v>
      </c>
      <c r="I5" s="1" t="s">
        <v>176</v>
      </c>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heetViews>
  <sheetFormatPr defaultRowHeight="14.25"/>
  <cols>
    <col min="1" max="1" width="10" customWidth="1"/>
    <col min="2" max="2" width="28" customWidth="1"/>
    <col min="3" max="3" width="88" customWidth="1"/>
  </cols>
  <sheetData>
    <row r="1" spans="1:26" ht="15">
      <c r="A1" s="2" t="s">
        <v>664</v>
      </c>
      <c r="B1" s="2" t="s">
        <v>21</v>
      </c>
      <c r="C1" s="2" t="s">
        <v>790</v>
      </c>
      <c r="D1" s="1"/>
      <c r="E1" s="1"/>
      <c r="F1" s="1"/>
      <c r="G1" s="1"/>
      <c r="H1" s="1"/>
      <c r="I1" s="1"/>
      <c r="J1" s="1"/>
      <c r="K1" s="1"/>
      <c r="L1" s="1"/>
      <c r="M1" s="1"/>
      <c r="N1" s="1"/>
      <c r="O1" s="1"/>
      <c r="P1" s="1"/>
      <c r="Q1" s="1"/>
      <c r="R1" s="1"/>
      <c r="S1" s="1"/>
      <c r="T1" s="1"/>
      <c r="U1" s="1"/>
      <c r="V1" s="1"/>
      <c r="W1" s="1"/>
      <c r="X1" s="1"/>
      <c r="Y1" s="1"/>
      <c r="Z1" s="1"/>
    </row>
    <row r="2" spans="1:26" ht="54" customHeight="1">
      <c r="A2" s="1" t="s">
        <v>791</v>
      </c>
      <c r="B2" s="1" t="s">
        <v>792</v>
      </c>
      <c r="C2" s="1" t="s">
        <v>793</v>
      </c>
      <c r="D2" s="1"/>
      <c r="E2" s="1"/>
      <c r="F2" s="1"/>
      <c r="G2" s="1"/>
      <c r="H2" s="1"/>
      <c r="I2" s="1"/>
      <c r="J2" s="1"/>
      <c r="K2" s="1"/>
      <c r="L2" s="1"/>
      <c r="M2" s="1"/>
      <c r="N2" s="1"/>
      <c r="O2" s="1"/>
      <c r="P2" s="1"/>
      <c r="Q2" s="1"/>
      <c r="R2" s="1"/>
      <c r="S2" s="1"/>
      <c r="T2" s="1"/>
      <c r="U2" s="1"/>
      <c r="V2" s="1"/>
      <c r="W2" s="1"/>
      <c r="X2" s="1"/>
      <c r="Y2" s="1"/>
      <c r="Z2" s="1"/>
    </row>
    <row r="3" spans="1:26" ht="54" customHeight="1">
      <c r="A3" s="1" t="s">
        <v>794</v>
      </c>
      <c r="B3" s="1" t="s">
        <v>795</v>
      </c>
      <c r="C3" s="1" t="s">
        <v>796</v>
      </c>
      <c r="D3" s="1"/>
      <c r="E3" s="1"/>
      <c r="F3" s="1"/>
      <c r="G3" s="1"/>
      <c r="H3" s="1"/>
      <c r="I3" s="1"/>
      <c r="J3" s="1"/>
      <c r="K3" s="1"/>
      <c r="L3" s="1"/>
      <c r="M3" s="1"/>
      <c r="N3" s="1"/>
      <c r="O3" s="1"/>
      <c r="P3" s="1"/>
      <c r="Q3" s="1"/>
      <c r="R3" s="1"/>
      <c r="S3" s="1"/>
      <c r="T3" s="1"/>
      <c r="U3" s="1"/>
      <c r="V3" s="1"/>
      <c r="W3" s="1"/>
      <c r="X3" s="1"/>
      <c r="Y3" s="1"/>
      <c r="Z3" s="1"/>
    </row>
    <row r="4" spans="1:26" ht="54" customHeight="1">
      <c r="A4" s="1" t="s">
        <v>797</v>
      </c>
      <c r="B4" s="1" t="s">
        <v>798</v>
      </c>
      <c r="C4" s="1" t="s">
        <v>799</v>
      </c>
      <c r="D4" s="1"/>
      <c r="E4" s="1"/>
      <c r="F4" s="1"/>
      <c r="G4" s="1"/>
      <c r="H4" s="1"/>
      <c r="I4" s="1"/>
      <c r="J4" s="1"/>
      <c r="K4" s="1"/>
      <c r="L4" s="1"/>
      <c r="M4" s="1"/>
      <c r="N4" s="1"/>
      <c r="O4" s="1"/>
      <c r="P4" s="1"/>
      <c r="Q4" s="1"/>
      <c r="R4" s="1"/>
      <c r="S4" s="1"/>
      <c r="T4" s="1"/>
      <c r="U4" s="1"/>
      <c r="V4" s="1"/>
      <c r="W4" s="1"/>
      <c r="X4" s="1"/>
      <c r="Y4" s="1"/>
      <c r="Z4" s="1"/>
    </row>
    <row r="5" spans="1:26" ht="54" customHeight="1">
      <c r="A5" s="1" t="s">
        <v>800</v>
      </c>
      <c r="B5" s="1" t="s">
        <v>801</v>
      </c>
      <c r="C5" s="1" t="s">
        <v>802</v>
      </c>
      <c r="D5" s="1"/>
      <c r="E5" s="1"/>
      <c r="F5" s="1"/>
      <c r="G5" s="1"/>
      <c r="H5" s="1"/>
      <c r="I5" s="1"/>
      <c r="J5" s="1"/>
      <c r="K5" s="1"/>
      <c r="L5" s="1"/>
      <c r="M5" s="1"/>
      <c r="N5" s="1"/>
      <c r="O5" s="1"/>
      <c r="P5" s="1"/>
      <c r="Q5" s="1"/>
      <c r="R5" s="1"/>
      <c r="S5" s="1"/>
      <c r="T5" s="1"/>
      <c r="U5" s="1"/>
      <c r="V5" s="1"/>
      <c r="W5" s="1"/>
      <c r="X5" s="1"/>
      <c r="Y5" s="1"/>
      <c r="Z5" s="1"/>
    </row>
    <row r="6" spans="1:26" ht="54" customHeight="1">
      <c r="A6" s="1" t="s">
        <v>803</v>
      </c>
      <c r="B6" s="1" t="s">
        <v>804</v>
      </c>
      <c r="C6" s="1" t="s">
        <v>805</v>
      </c>
      <c r="D6" s="1"/>
      <c r="E6" s="1"/>
      <c r="F6" s="1"/>
      <c r="G6" s="1"/>
      <c r="H6" s="1"/>
      <c r="I6" s="1"/>
      <c r="J6" s="1"/>
      <c r="K6" s="1"/>
      <c r="L6" s="1"/>
      <c r="M6" s="1"/>
      <c r="N6" s="1"/>
      <c r="O6" s="1"/>
      <c r="P6" s="1"/>
      <c r="Q6" s="1"/>
      <c r="R6" s="1"/>
      <c r="S6" s="1"/>
      <c r="T6" s="1"/>
      <c r="U6" s="1"/>
      <c r="V6" s="1"/>
      <c r="W6" s="1"/>
      <c r="X6" s="1"/>
      <c r="Y6" s="1"/>
      <c r="Z6" s="1"/>
    </row>
    <row r="7" spans="1:26" ht="54" customHeight="1">
      <c r="A7" s="1" t="s">
        <v>806</v>
      </c>
      <c r="B7" s="1" t="s">
        <v>807</v>
      </c>
      <c r="C7" s="1" t="s">
        <v>808</v>
      </c>
      <c r="D7" s="1"/>
      <c r="E7" s="1"/>
      <c r="F7" s="1"/>
      <c r="G7" s="1"/>
      <c r="H7" s="1"/>
      <c r="I7" s="1"/>
      <c r="J7" s="1"/>
      <c r="K7" s="1"/>
      <c r="L7" s="1"/>
      <c r="M7" s="1"/>
      <c r="N7" s="1"/>
      <c r="O7" s="1"/>
      <c r="P7" s="1"/>
      <c r="Q7" s="1"/>
      <c r="R7" s="1"/>
      <c r="S7" s="1"/>
      <c r="T7" s="1"/>
      <c r="U7" s="1"/>
      <c r="V7" s="1"/>
      <c r="W7" s="1"/>
      <c r="X7" s="1"/>
      <c r="Y7" s="1"/>
      <c r="Z7" s="1"/>
    </row>
    <row r="8" spans="1:26" ht="54" customHeight="1">
      <c r="A8" s="1" t="s">
        <v>809</v>
      </c>
      <c r="B8" s="1" t="s">
        <v>810</v>
      </c>
      <c r="C8" s="1" t="s">
        <v>811</v>
      </c>
      <c r="D8" s="1"/>
      <c r="E8" s="1"/>
      <c r="F8" s="1"/>
      <c r="G8" s="1"/>
      <c r="H8" s="1"/>
      <c r="I8" s="1"/>
      <c r="J8" s="1"/>
      <c r="K8" s="1"/>
      <c r="L8" s="1"/>
      <c r="M8" s="1"/>
      <c r="N8" s="1"/>
      <c r="O8" s="1"/>
      <c r="P8" s="1"/>
      <c r="Q8" s="1"/>
      <c r="R8" s="1"/>
      <c r="S8" s="1"/>
      <c r="T8" s="1"/>
      <c r="U8" s="1"/>
      <c r="V8" s="1"/>
      <c r="W8" s="1"/>
      <c r="X8" s="1"/>
      <c r="Y8" s="1"/>
      <c r="Z8" s="1"/>
    </row>
    <row r="9" spans="1:26" ht="54" customHeight="1">
      <c r="A9" s="1" t="s">
        <v>812</v>
      </c>
      <c r="B9" s="1" t="s">
        <v>813</v>
      </c>
      <c r="C9" s="1" t="s">
        <v>814</v>
      </c>
      <c r="D9" s="1"/>
      <c r="E9" s="1"/>
      <c r="F9" s="1"/>
      <c r="G9" s="1"/>
      <c r="H9" s="1"/>
      <c r="I9" s="1"/>
      <c r="J9" s="1"/>
      <c r="K9" s="1"/>
      <c r="L9" s="1"/>
      <c r="M9" s="1"/>
      <c r="N9" s="1"/>
      <c r="O9" s="1"/>
      <c r="P9" s="1"/>
      <c r="Q9" s="1"/>
      <c r="R9" s="1"/>
      <c r="S9" s="1"/>
      <c r="T9" s="1"/>
      <c r="U9" s="1"/>
      <c r="V9" s="1"/>
      <c r="W9" s="1"/>
      <c r="X9" s="1"/>
      <c r="Y9" s="1"/>
      <c r="Z9" s="1"/>
    </row>
    <row r="10" spans="1:26" ht="54" customHeight="1">
      <c r="A10" s="1" t="s">
        <v>815</v>
      </c>
      <c r="B10" s="1" t="s">
        <v>816</v>
      </c>
      <c r="C10" s="1" t="s">
        <v>817</v>
      </c>
      <c r="D10" s="1"/>
      <c r="E10" s="1"/>
      <c r="F10" s="1"/>
      <c r="G10" s="1"/>
      <c r="H10" s="1"/>
      <c r="I10" s="1"/>
      <c r="J10" s="1"/>
      <c r="K10" s="1"/>
      <c r="L10" s="1"/>
      <c r="M10" s="1"/>
      <c r="N10" s="1"/>
      <c r="O10" s="1"/>
      <c r="P10" s="1"/>
      <c r="Q10" s="1"/>
      <c r="R10" s="1"/>
      <c r="S10" s="1"/>
      <c r="T10" s="1"/>
      <c r="U10" s="1"/>
      <c r="V10" s="1"/>
      <c r="W10" s="1"/>
      <c r="X10" s="1"/>
      <c r="Y10" s="1"/>
      <c r="Z10" s="1"/>
    </row>
    <row r="11" spans="1:26" ht="54" customHeight="1">
      <c r="A11" s="1" t="s">
        <v>818</v>
      </c>
      <c r="B11" s="1" t="s">
        <v>819</v>
      </c>
      <c r="C11" s="1" t="s">
        <v>820</v>
      </c>
      <c r="D11" s="1"/>
      <c r="E11" s="1"/>
      <c r="F11" s="1"/>
      <c r="G11" s="1"/>
      <c r="H11" s="1"/>
      <c r="I11" s="1"/>
      <c r="J11" s="1"/>
      <c r="K11" s="1"/>
      <c r="L11" s="1"/>
      <c r="M11" s="1"/>
      <c r="N11" s="1"/>
      <c r="O11" s="1"/>
      <c r="P11" s="1"/>
      <c r="Q11" s="1"/>
      <c r="R11" s="1"/>
      <c r="S11" s="1"/>
      <c r="T11" s="1"/>
      <c r="U11" s="1"/>
      <c r="V11" s="1"/>
      <c r="W11" s="1"/>
      <c r="X11" s="1"/>
      <c r="Y11" s="1"/>
      <c r="Z11" s="1"/>
    </row>
    <row r="12" spans="1:26" ht="54" customHeight="1">
      <c r="A12" s="1" t="s">
        <v>821</v>
      </c>
      <c r="B12" s="1" t="s">
        <v>822</v>
      </c>
      <c r="C12" s="1" t="s">
        <v>823</v>
      </c>
      <c r="D12" s="1"/>
      <c r="E12" s="1"/>
      <c r="F12" s="1"/>
      <c r="G12" s="1"/>
      <c r="H12" s="1"/>
      <c r="I12" s="1"/>
      <c r="J12" s="1"/>
      <c r="K12" s="1"/>
      <c r="L12" s="1"/>
      <c r="M12" s="1"/>
      <c r="N12" s="1"/>
      <c r="O12" s="1"/>
      <c r="P12" s="1"/>
      <c r="Q12" s="1"/>
      <c r="R12" s="1"/>
      <c r="S12" s="1"/>
      <c r="T12" s="1"/>
      <c r="U12" s="1"/>
      <c r="V12" s="1"/>
      <c r="W12" s="1"/>
      <c r="X12" s="1"/>
      <c r="Y12" s="1"/>
      <c r="Z12" s="1"/>
    </row>
    <row r="13" spans="1:26" ht="54" customHeight="1">
      <c r="A13" s="1" t="s">
        <v>824</v>
      </c>
      <c r="B13" s="1" t="s">
        <v>825</v>
      </c>
      <c r="C13" s="1" t="s">
        <v>826</v>
      </c>
      <c r="D13" s="1"/>
      <c r="E13" s="1"/>
      <c r="F13" s="1"/>
      <c r="G13" s="1"/>
      <c r="H13" s="1"/>
      <c r="I13" s="1"/>
      <c r="J13" s="1"/>
      <c r="K13" s="1"/>
      <c r="L13" s="1"/>
      <c r="M13" s="1"/>
      <c r="N13" s="1"/>
      <c r="O13" s="1"/>
      <c r="P13" s="1"/>
      <c r="Q13" s="1"/>
      <c r="R13" s="1"/>
      <c r="S13" s="1"/>
      <c r="T13" s="1"/>
      <c r="U13" s="1"/>
      <c r="V13" s="1"/>
      <c r="W13" s="1"/>
      <c r="X13" s="1"/>
      <c r="Y13" s="1"/>
      <c r="Z13" s="1"/>
    </row>
    <row r="14" spans="1:26" ht="54" customHeight="1">
      <c r="A14" s="1" t="s">
        <v>827</v>
      </c>
      <c r="B14" s="1" t="s">
        <v>828</v>
      </c>
      <c r="C14" s="1" t="s">
        <v>829</v>
      </c>
      <c r="D14" s="1"/>
      <c r="E14" s="1"/>
      <c r="F14" s="1"/>
      <c r="G14" s="1"/>
      <c r="H14" s="1"/>
      <c r="I14" s="1"/>
      <c r="J14" s="1"/>
      <c r="K14" s="1"/>
      <c r="L14" s="1"/>
      <c r="M14" s="1"/>
      <c r="N14" s="1"/>
      <c r="O14" s="1"/>
      <c r="P14" s="1"/>
      <c r="Q14" s="1"/>
      <c r="R14" s="1"/>
      <c r="S14" s="1"/>
      <c r="T14" s="1"/>
      <c r="U14" s="1"/>
      <c r="V14" s="1"/>
      <c r="W14" s="1"/>
      <c r="X14" s="1"/>
      <c r="Y14" s="1"/>
      <c r="Z14" s="1"/>
    </row>
    <row r="15" spans="1:26" ht="54" customHeight="1">
      <c r="A15" s="1" t="s">
        <v>830</v>
      </c>
      <c r="B15" s="1" t="s">
        <v>831</v>
      </c>
      <c r="C15" s="1" t="s">
        <v>832</v>
      </c>
      <c r="D15" s="1"/>
      <c r="E15" s="1"/>
      <c r="F15" s="1"/>
      <c r="G15" s="1"/>
      <c r="H15" s="1"/>
      <c r="I15" s="1"/>
      <c r="J15" s="1"/>
      <c r="K15" s="1"/>
      <c r="L15" s="1"/>
      <c r="M15" s="1"/>
      <c r="N15" s="1"/>
      <c r="O15" s="1"/>
      <c r="P15" s="1"/>
      <c r="Q15" s="1"/>
      <c r="R15" s="1"/>
      <c r="S15" s="1"/>
      <c r="T15" s="1"/>
      <c r="U15" s="1"/>
      <c r="V15" s="1"/>
      <c r="W15" s="1"/>
      <c r="X15" s="1"/>
      <c r="Y15" s="1"/>
      <c r="Z15" s="1"/>
    </row>
    <row r="16" spans="1:26" ht="42.75">
      <c r="A16" s="1" t="s">
        <v>833</v>
      </c>
      <c r="B16" s="1" t="s">
        <v>834</v>
      </c>
      <c r="C16" s="1" t="s">
        <v>835</v>
      </c>
      <c r="D16" s="1"/>
      <c r="E16" s="1"/>
      <c r="F16" s="1"/>
      <c r="G16" s="1"/>
      <c r="H16" s="1"/>
      <c r="I16" s="1"/>
      <c r="J16" s="1"/>
      <c r="K16" s="1"/>
      <c r="L16" s="1"/>
      <c r="M16" s="1"/>
      <c r="N16" s="1"/>
      <c r="O16" s="1"/>
      <c r="P16" s="1"/>
      <c r="Q16" s="1"/>
      <c r="R16" s="1"/>
      <c r="S16" s="1"/>
      <c r="T16" s="1"/>
      <c r="U16" s="1"/>
      <c r="V16" s="1"/>
      <c r="W16" s="1"/>
      <c r="X16" s="1"/>
      <c r="Y16" s="1"/>
      <c r="Z16" s="1"/>
    </row>
    <row r="17" spans="1:26" ht="42.75">
      <c r="A17" s="1" t="s">
        <v>836</v>
      </c>
      <c r="B17" s="1" t="s">
        <v>837</v>
      </c>
      <c r="C17" s="1" t="s">
        <v>838</v>
      </c>
      <c r="D17" s="1"/>
      <c r="E17" s="1"/>
      <c r="F17" s="1"/>
      <c r="G17" s="1"/>
      <c r="H17" s="1"/>
      <c r="I17" s="1"/>
      <c r="J17" s="1"/>
      <c r="K17" s="1"/>
      <c r="L17" s="1"/>
      <c r="M17" s="1"/>
      <c r="N17" s="1"/>
      <c r="O17" s="1"/>
      <c r="P17" s="1"/>
      <c r="Q17" s="1"/>
      <c r="R17" s="1"/>
      <c r="S17" s="1"/>
      <c r="T17" s="1"/>
      <c r="U17" s="1"/>
      <c r="V17" s="1"/>
      <c r="W17" s="1"/>
      <c r="X17" s="1"/>
      <c r="Y17" s="1"/>
      <c r="Z17" s="1"/>
    </row>
    <row r="18" spans="1:26" ht="28.5">
      <c r="A18" s="1" t="s">
        <v>839</v>
      </c>
      <c r="B18" s="1" t="s">
        <v>840</v>
      </c>
      <c r="C18" s="1" t="s">
        <v>841</v>
      </c>
      <c r="D18" s="1"/>
      <c r="E18" s="1"/>
      <c r="F18" s="1"/>
      <c r="G18" s="1"/>
      <c r="H18" s="1"/>
      <c r="I18" s="1"/>
      <c r="J18" s="1"/>
      <c r="K18" s="1"/>
      <c r="L18" s="1"/>
      <c r="M18" s="1"/>
      <c r="N18" s="1"/>
      <c r="O18" s="1"/>
      <c r="P18" s="1"/>
      <c r="Q18" s="1"/>
      <c r="R18" s="1"/>
      <c r="S18" s="1"/>
      <c r="T18" s="1"/>
      <c r="U18" s="1"/>
      <c r="V18" s="1"/>
      <c r="W18" s="1"/>
      <c r="X18" s="1"/>
      <c r="Y18" s="1"/>
      <c r="Z18" s="1"/>
    </row>
    <row r="19" spans="1:26" ht="42.75">
      <c r="A19" s="1" t="s">
        <v>842</v>
      </c>
      <c r="B19" s="1" t="s">
        <v>843</v>
      </c>
      <c r="C19" s="1" t="s">
        <v>844</v>
      </c>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Semester Bundles</vt:lpstr>
      <vt:lpstr>Tasks</vt:lpstr>
      <vt:lpstr>Deliverables</vt:lpstr>
      <vt:lpstr>Requirement Coverage</vt:lpstr>
      <vt:lpstr>UI Components</vt:lpstr>
      <vt:lpstr>Contracts &amp; Tests</vt:lpstr>
      <vt:lpstr>Milestones</vt:lpstr>
      <vt:lpstr>Optional Backlog</vt:lpstr>
      <vt:lpstr>Planning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dc:creator>
  <cp:lastModifiedBy>Miguel Alves</cp:lastModifiedBy>
  <dcterms:modified xsi:type="dcterms:W3CDTF">2026-09-25T15:41:43Z</dcterms:modified>
</cp:coreProperties>
</file>